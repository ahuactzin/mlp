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_\Documents\PreguntaleAlDrAhuactzin\Propuestas\Promocash\02_API_PK\serpicl\mlp\config\"/>
    </mc:Choice>
  </mc:AlternateContent>
  <xr:revisionPtr revIDLastSave="0" documentId="13_ncr:1_{40927C64-0BDA-42D2-8643-548E951D024F}" xr6:coauthVersionLast="47" xr6:coauthVersionMax="47" xr10:uidLastSave="{00000000-0000-0000-0000-000000000000}"/>
  <bookViews>
    <workbookView xWindow="520" yWindow="40" windowWidth="18420" windowHeight="10050" xr2:uid="{30E9F2E4-6AED-47FE-9A39-ECAC12DF196B}"/>
  </bookViews>
  <sheets>
    <sheet name="Campos" sheetId="1" r:id="rId1"/>
    <sheet name="Secciones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</calcChain>
</file>

<file path=xl/sharedStrings.xml><?xml version="1.0" encoding="utf-8"?>
<sst xmlns="http://schemas.openxmlformats.org/spreadsheetml/2006/main" count="1295" uniqueCount="164">
  <si>
    <t>Sección</t>
  </si>
  <si>
    <t>Datos personales</t>
  </si>
  <si>
    <t>Ingresos laboral</t>
  </si>
  <si>
    <t>Ingresos negocio</t>
  </si>
  <si>
    <t>Estudio de ingresos</t>
  </si>
  <si>
    <t>Estudio de egresos</t>
  </si>
  <si>
    <t>Datos personales del conyuge</t>
  </si>
  <si>
    <t>Datos personales del aval</t>
  </si>
  <si>
    <t>Crédito</t>
  </si>
  <si>
    <t>Plazo</t>
  </si>
  <si>
    <t>N/A</t>
  </si>
  <si>
    <t>Último grado de estudios</t>
  </si>
  <si>
    <t>Tipo de asentamiento</t>
  </si>
  <si>
    <t>Domicilio actual</t>
  </si>
  <si>
    <t>Puesto</t>
  </si>
  <si>
    <t>Antigüedad</t>
  </si>
  <si>
    <t>No</t>
  </si>
  <si>
    <t>Incobrable</t>
  </si>
  <si>
    <t>Cuantitativo real</t>
  </si>
  <si>
    <t>Cuantitativo entero</t>
  </si>
  <si>
    <t>Tipo de dato</t>
  </si>
  <si>
    <t>Texto</t>
  </si>
  <si>
    <t>Observación</t>
  </si>
  <si>
    <t>¿Es número de agente?</t>
  </si>
  <si>
    <t>Mapearlo a "unidad" ya que son muchos valores</t>
  </si>
  <si>
    <t>Unidad</t>
  </si>
  <si>
    <t>ID</t>
  </si>
  <si>
    <t>Sí</t>
  </si>
  <si>
    <t>Pendiente</t>
  </si>
  <si>
    <t>Considerar los 4-5 más significantes y "otros"</t>
  </si>
  <si>
    <t>Posiblemente</t>
  </si>
  <si>
    <t>La mayoría son IFE/INE</t>
  </si>
  <si>
    <t>Extraer el dominio</t>
  </si>
  <si>
    <t>Outlayers verificar</t>
  </si>
  <si>
    <t>Hacer un número de subcategorías manejable</t>
  </si>
  <si>
    <t>Uniformizar p. eje. Obrero/Obrera</t>
  </si>
  <si>
    <t>Reagrupar en clase menos de 10 años, entre 10 y 20, etc.</t>
  </si>
  <si>
    <t>Zona</t>
  </si>
  <si>
    <t>Agencia</t>
  </si>
  <si>
    <t>Fecha inicial</t>
  </si>
  <si>
    <t>Fecha inicial del crédito</t>
  </si>
  <si>
    <t>Edad Solicitud</t>
  </si>
  <si>
    <t>Edad al hacer la solicitud</t>
  </si>
  <si>
    <t>Fecha Nacimiento</t>
  </si>
  <si>
    <t>Estado Nacimiento</t>
  </si>
  <si>
    <t>Email</t>
  </si>
  <si>
    <t>Estado Civil</t>
  </si>
  <si>
    <t>Tipo ID</t>
  </si>
  <si>
    <t>Dependientes</t>
  </si>
  <si>
    <t>Estudios</t>
  </si>
  <si>
    <t>Fuente Ingresos</t>
  </si>
  <si>
    <t>CP</t>
  </si>
  <si>
    <t>Años Residencia</t>
  </si>
  <si>
    <t>Tipo Vivienda</t>
  </si>
  <si>
    <t>Asentamiento</t>
  </si>
  <si>
    <t>Empresa</t>
  </si>
  <si>
    <t>CP Empresa</t>
  </si>
  <si>
    <t>Actividad Negocio</t>
  </si>
  <si>
    <t>Giro Negocio</t>
  </si>
  <si>
    <t>Instalaciones Negocio</t>
  </si>
  <si>
    <t>CP Negocio</t>
  </si>
  <si>
    <t>Ingresos</t>
  </si>
  <si>
    <t>Egresos</t>
  </si>
  <si>
    <t>Genero Conyuge</t>
  </si>
  <si>
    <t>Ingreso Conyuge</t>
  </si>
  <si>
    <t xml:space="preserve">Nacimiento Aval </t>
  </si>
  <si>
    <t>Estado Aval</t>
  </si>
  <si>
    <t>Estado Civil Aval</t>
  </si>
  <si>
    <t>Tipo ID Aval</t>
  </si>
  <si>
    <t>Dependientes Aval</t>
  </si>
  <si>
    <t>Estudios Aval</t>
  </si>
  <si>
    <t>Ingresos Aval</t>
  </si>
  <si>
    <t>Actividad Aval</t>
  </si>
  <si>
    <t>Residencia Aval</t>
  </si>
  <si>
    <t>Tipo Vivienda Aval</t>
  </si>
  <si>
    <t>Asentamiento Aval</t>
  </si>
  <si>
    <t>Categórico</t>
  </si>
  <si>
    <t>Numérico</t>
  </si>
  <si>
    <t>Característica</t>
  </si>
  <si>
    <t>Min</t>
  </si>
  <si>
    <t>Max</t>
  </si>
  <si>
    <t>Genero</t>
  </si>
  <si>
    <t>Genero Aval</t>
  </si>
  <si>
    <t>Sub tipo</t>
  </si>
  <si>
    <t>Entero</t>
  </si>
  <si>
    <t>Real</t>
  </si>
  <si>
    <t>Cuantitativo</t>
  </si>
  <si>
    <t>CP Aval</t>
  </si>
  <si>
    <t>Fecha</t>
  </si>
  <si>
    <t>Tipo de variable</t>
  </si>
  <si>
    <t>Predictor</t>
  </si>
  <si>
    <t>Score</t>
  </si>
  <si>
    <t>CP_Latitud</t>
  </si>
  <si>
    <t>CP_Longitud</t>
  </si>
  <si>
    <t>CP_Aval_Longitud</t>
  </si>
  <si>
    <t>CP_Aval_Latitud</t>
  </si>
  <si>
    <t>Data Agregation</t>
  </si>
  <si>
    <t>Deficit</t>
  </si>
  <si>
    <t>IngresoPercapita</t>
  </si>
  <si>
    <t>Target</t>
  </si>
  <si>
    <t>TipoZona</t>
  </si>
  <si>
    <t>Categoria</t>
  </si>
  <si>
    <t>Monto</t>
  </si>
  <si>
    <t>Score CC</t>
  </si>
  <si>
    <t>Id Solicitud</t>
  </si>
  <si>
    <t>Estado Negocio</t>
  </si>
  <si>
    <t>Sí- Off</t>
  </si>
  <si>
    <t>LAE1</t>
  </si>
  <si>
    <t>LAE2</t>
  </si>
  <si>
    <t>LAE3</t>
  </si>
  <si>
    <t>LAE4</t>
  </si>
  <si>
    <t>LAE5</t>
  </si>
  <si>
    <t>LAE6</t>
  </si>
  <si>
    <t>LAE7</t>
  </si>
  <si>
    <t>LAE8</t>
  </si>
  <si>
    <t>LAE9</t>
  </si>
  <si>
    <t>LAE10</t>
  </si>
  <si>
    <t>LAE11</t>
  </si>
  <si>
    <t>LAE12</t>
  </si>
  <si>
    <t>LAE13</t>
  </si>
  <si>
    <t>LAE14</t>
  </si>
  <si>
    <t>LAE15</t>
  </si>
  <si>
    <t>LAE16</t>
  </si>
  <si>
    <t>LAE17</t>
  </si>
  <si>
    <t>LAE18</t>
  </si>
  <si>
    <t>Ciculo de Crédito</t>
  </si>
  <si>
    <t>Score Agt</t>
  </si>
  <si>
    <t>Datos del agente</t>
  </si>
  <si>
    <t>Reasoncode4</t>
  </si>
  <si>
    <t>Reasoncode3</t>
  </si>
  <si>
    <t>Reasoncode2</t>
  </si>
  <si>
    <t>Reasoncode1</t>
  </si>
  <si>
    <t>Datos del crédito</t>
  </si>
  <si>
    <t>Número</t>
  </si>
  <si>
    <t>Solicitud de credito</t>
  </si>
  <si>
    <t>Círculo de crédito</t>
  </si>
  <si>
    <t>Datos agente</t>
  </si>
  <si>
    <t>Agredación de datos</t>
  </si>
  <si>
    <t>Variables objetivo</t>
  </si>
  <si>
    <t>TOTAL</t>
  </si>
  <si>
    <t>Clas Score</t>
  </si>
  <si>
    <t>Vencida CC</t>
  </si>
  <si>
    <t>Clave Obs</t>
  </si>
  <si>
    <t>Promocash</t>
  </si>
  <si>
    <t>Tiene aval</t>
  </si>
  <si>
    <t>Odds</t>
  </si>
  <si>
    <t>Monetario</t>
  </si>
  <si>
    <t>Score_Ant</t>
  </si>
  <si>
    <t>Monto_Ant</t>
  </si>
  <si>
    <t>Ciclo</t>
  </si>
  <si>
    <t>Frecuencia_Ant</t>
  </si>
  <si>
    <t>Capacidad_Ant</t>
  </si>
  <si>
    <t>RNV_Agt</t>
  </si>
  <si>
    <t>NV_Agt</t>
  </si>
  <si>
    <t>NV_CC</t>
  </si>
  <si>
    <t>RNV_CC</t>
  </si>
  <si>
    <t>N Incob Cte</t>
  </si>
  <si>
    <t>Número de veces que en el pasado estuvo en estado de incobrable</t>
  </si>
  <si>
    <t>Mes inicial</t>
  </si>
  <si>
    <t>x</t>
  </si>
  <si>
    <t>NV_Agt_CS</t>
  </si>
  <si>
    <t>RNV_Agt_CS</t>
  </si>
  <si>
    <t>NV_CC_CS</t>
  </si>
  <si>
    <t>RNV_CC_CS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</si>
</sst>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C163"/>
        </patternFill>
      </fill>
    </dxf>
  </dxfs>
  <tableStyles count="1" defaultTableStyle="TableStyleMedium2" defaultPivotStyle="PivotStyleLight16">
    <tableStyle name="Promocash" pivot="0" count="3" xr9:uid="{1158EF71-2FCD-4D7A-900D-4900829D283F}">
      <tableStyleElement type="headerRow" dxfId="8"/>
      <tableStyleElement type="firstRowStripe" dxfId="7"/>
      <tableStyleElement type="secondRowStripe" dxfId="6"/>
    </tableStyle>
  </tableStyles>
  <colors>
    <mruColors>
      <color rgb="FF00C163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Variables disponibles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83-45DD-992B-32DC0110B8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83-45DD-992B-32DC0110B8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83-45DD-992B-32DC0110B8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83-45DD-992B-32DC0110B8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83-45DD-992B-32DC0110B8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83-45DD-992B-32DC0110B8F2}"/>
              </c:ext>
            </c:extLst>
          </c:dPt>
          <c:cat>
            <c:strRef>
              <c:f>Hoja1!$A$2:$A$7</c:f>
              <c:strCache>
                <c:ptCount val="6"/>
                <c:pt idx="0">
                  <c:v>Datos del crédito</c:v>
                </c:pt>
                <c:pt idx="1">
                  <c:v>Solicitud de credito</c:v>
                </c:pt>
                <c:pt idx="2">
                  <c:v>Círculo de crédito</c:v>
                </c:pt>
                <c:pt idx="3">
                  <c:v>Datos agente</c:v>
                </c:pt>
                <c:pt idx="4">
                  <c:v>Agredación de datos</c:v>
                </c:pt>
                <c:pt idx="5">
                  <c:v>Variables objetivo</c:v>
                </c:pt>
              </c:strCache>
            </c:strRef>
          </c:cat>
          <c:val>
            <c:numRef>
              <c:f>Hoja1!$B$2:$B$7</c:f>
              <c:numCache>
                <c:formatCode>General</c:formatCode>
                <c:ptCount val="6"/>
                <c:pt idx="0">
                  <c:v>7</c:v>
                </c:pt>
                <c:pt idx="1">
                  <c:v>39</c:v>
                </c:pt>
                <c:pt idx="2">
                  <c:v>23</c:v>
                </c:pt>
                <c:pt idx="3">
                  <c:v>1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8-47BB-9772-2383C04E2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10</xdr:row>
      <xdr:rowOff>166687</xdr:rowOff>
    </xdr:from>
    <xdr:to>
      <xdr:col>12</xdr:col>
      <xdr:colOff>304800</xdr:colOff>
      <xdr:row>25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DFC0EC-0BE1-A2E2-04EB-A91D86958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5E891-7DAF-4163-8E68-80AE6041BA0C}" name="Tabla2" displayName="Tabla2" ref="A1:S94" totalsRowShown="0">
  <autoFilter ref="A1:S94" xr:uid="{E1F5E891-7DAF-4163-8E68-80AE6041BA0C}">
    <filterColumn colId="2">
      <filters>
        <filter val="Sí"/>
      </filters>
    </filterColumn>
  </autoFilter>
  <sortState xmlns:xlrd2="http://schemas.microsoft.com/office/spreadsheetml/2017/richdata2" ref="A3:S94">
    <sortCondition ref="A1:A94"/>
  </sortState>
  <tableColumns count="19">
    <tableColumn id="1" xr3:uid="{C77194BD-DCEA-4120-9DC8-48B3A5D2E2F0}" name="ID" dataDxfId="5"/>
    <tableColumn id="13" xr3:uid="{D84ED9DC-787B-49DD-9A30-673D2B2391BA}" name="NV_Agt"/>
    <tableColumn id="14" xr3:uid="{8D42BF78-3CFF-4FC2-90DD-9B84437330ED}" name="RNV_Agt"/>
    <tableColumn id="6" xr3:uid="{72D1C7BA-77CD-4A62-B356-387427B12132}" name="NV_CC"/>
    <tableColumn id="15" xr3:uid="{90D94BF0-A998-4C07-A4DE-866A59C9E300}" name="RNV_CC"/>
    <tableColumn id="18" xr3:uid="{C81182D1-FE1A-49B9-85C2-3A4C06E26489}" name="NV_Agt_CS"/>
    <tableColumn id="17" xr3:uid="{3FB62322-8AAE-47EF-BB3A-9B8EA29CF8B4}" name="RNV_Agt_CS"/>
    <tableColumn id="19" xr3:uid="{088AF62E-91DB-4C6E-90B1-49736BDEAF67}" name="NV_CC_CS"/>
    <tableColumn id="16" xr3:uid="{D9AF77FA-0B76-41A0-9B1A-97301BE93EA8}" name="RNV_CC_CS"/>
    <tableColumn id="2" xr3:uid="{E458C030-C707-4F11-912A-5961C4812475}" name="Característica"/>
    <tableColumn id="11" xr3:uid="{B592DCA1-0C31-4943-BD6B-6C135C35192C}" name="Tipo de variable"/>
    <tableColumn id="7" xr3:uid="{0D1000E2-7137-4EF3-BF82-2F0076AF3ADE}" name="Numérico"/>
    <tableColumn id="8" xr3:uid="{6BF5F62A-B690-4462-81D3-63F6B8A071F7}" name="Min"/>
    <tableColumn id="9" xr3:uid="{2B5E246F-5861-41CC-9769-985ACD8F783B}" name="Max"/>
    <tableColumn id="4" xr3:uid="{966E4178-3579-4916-A5C0-9D22319B9D57}" name="Tipo de dato"/>
    <tableColumn id="10" xr3:uid="{1667379B-F937-4E6E-911C-EEE8CFD557A2}" name="Sub tipo"/>
    <tableColumn id="12" xr3:uid="{976F8390-5087-42E3-814F-C1D2452F97EB}" name="Monetario"/>
    <tableColumn id="3" xr3:uid="{7A20C97C-7DE1-4B29-AB66-1CA9A77A050D}" name="Sección"/>
    <tableColumn id="5" xr3:uid="{F29AADC1-B329-4C7C-B113-FE6571754E37}" name="Observació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BBC32-6462-457A-A59F-4868233D0AD3}" name="Tabla1" displayName="Tabla1" ref="A1:B8" totalsRowShown="0" headerRowDxfId="4" dataDxfId="3">
  <autoFilter ref="A1:B8" xr:uid="{5A3BBC32-6462-457A-A59F-4868233D0AD3}"/>
  <tableColumns count="2">
    <tableColumn id="1" xr3:uid="{57AC87F6-199C-4A6F-BE05-47D132AFF6CB}" name="Tipo de dato" dataDxfId="2"/>
    <tableColumn id="2" xr3:uid="{3B26BC8C-9BFD-4E2B-AB7B-387E534CF6C8}" name="Número" dataDxfId="1"/>
  </tableColumns>
  <tableStyleInfo name="Promocash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6BC5-21B5-4D0B-8967-D4C9EC6DCB15}">
  <dimension ref="A1:T101"/>
  <sheetViews>
    <sheetView tabSelected="1" topLeftCell="H1" zoomScaleNormal="100" workbookViewId="0">
      <selection activeCell="L53" sqref="L53"/>
    </sheetView>
  </sheetViews>
  <sheetFormatPr baseColWidth="10" defaultColWidth="11.42578125" defaultRowHeight="15" x14ac:dyDescent="0.25"/>
  <cols>
    <col min="2" max="2" width="11.42578125" customWidth="1"/>
    <col min="3" max="3" width="10" customWidth="1"/>
    <col min="4" max="4" width="11.42578125" customWidth="1"/>
    <col min="5" max="5" width="10.42578125" bestFit="1" customWidth="1"/>
    <col min="6" max="6" width="12.5703125" customWidth="1"/>
    <col min="7" max="7" width="13.7109375" bestFit="1" customWidth="1"/>
    <col min="8" max="8" width="12" bestFit="1" customWidth="1"/>
    <col min="9" max="9" width="13.140625" bestFit="1" customWidth="1"/>
    <col min="10" max="10" width="20.5703125" bestFit="1" customWidth="1"/>
    <col min="11" max="11" width="9.28515625" bestFit="1" customWidth="1"/>
    <col min="12" max="12" width="17.7109375" bestFit="1" customWidth="1"/>
    <col min="13" max="13" width="11.28515625" customWidth="1"/>
    <col min="14" max="14" width="8.140625" customWidth="1"/>
    <col min="15" max="15" width="18.5703125" bestFit="1" customWidth="1"/>
    <col min="16" max="16" width="20.7109375" customWidth="1"/>
    <col min="17" max="17" width="12.42578125" customWidth="1"/>
    <col min="18" max="18" width="18" customWidth="1"/>
    <col min="19" max="19" width="27.7109375" bestFit="1" customWidth="1"/>
    <col min="20" max="20" width="51.140625" bestFit="1" customWidth="1"/>
  </cols>
  <sheetData>
    <row r="1" spans="1:20" x14ac:dyDescent="0.25">
      <c r="A1" t="s">
        <v>26</v>
      </c>
      <c r="B1" t="s">
        <v>153</v>
      </c>
      <c r="C1" t="s">
        <v>152</v>
      </c>
      <c r="D1" t="s">
        <v>154</v>
      </c>
      <c r="E1" t="s">
        <v>155</v>
      </c>
      <c r="F1" s="4" t="s">
        <v>160</v>
      </c>
      <c r="G1" s="4" t="s">
        <v>161</v>
      </c>
      <c r="H1" s="4" t="s">
        <v>162</v>
      </c>
      <c r="I1" s="4" t="s">
        <v>163</v>
      </c>
      <c r="J1" t="s">
        <v>78</v>
      </c>
      <c r="K1" t="s">
        <v>89</v>
      </c>
      <c r="L1" t="s">
        <v>77</v>
      </c>
      <c r="M1" t="s">
        <v>79</v>
      </c>
      <c r="N1" t="s">
        <v>80</v>
      </c>
      <c r="O1" t="s">
        <v>20</v>
      </c>
      <c r="P1" t="s">
        <v>83</v>
      </c>
      <c r="Q1" t="s">
        <v>146</v>
      </c>
      <c r="R1" t="s">
        <v>0</v>
      </c>
      <c r="S1" t="s">
        <v>22</v>
      </c>
    </row>
    <row r="2" spans="1:20" hidden="1" x14ac:dyDescent="0.25">
      <c r="A2">
        <v>1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104</v>
      </c>
      <c r="K2" t="s">
        <v>90</v>
      </c>
      <c r="L2">
        <v>1</v>
      </c>
      <c r="M2">
        <v>0</v>
      </c>
      <c r="N2">
        <v>999999</v>
      </c>
      <c r="O2" t="s">
        <v>19</v>
      </c>
      <c r="P2" t="s">
        <v>84</v>
      </c>
      <c r="Q2">
        <v>0</v>
      </c>
      <c r="R2" t="s">
        <v>10</v>
      </c>
    </row>
    <row r="3" spans="1:20" hidden="1" x14ac:dyDescent="0.25">
      <c r="A3">
        <v>2</v>
      </c>
      <c r="B3" t="s">
        <v>106</v>
      </c>
      <c r="C3" t="s">
        <v>16</v>
      </c>
      <c r="D3" t="s">
        <v>106</v>
      </c>
      <c r="E3" t="s">
        <v>106</v>
      </c>
      <c r="F3" t="s">
        <v>106</v>
      </c>
      <c r="G3" t="s">
        <v>16</v>
      </c>
      <c r="H3" t="s">
        <v>106</v>
      </c>
      <c r="I3" t="s">
        <v>106</v>
      </c>
      <c r="J3" t="s">
        <v>9</v>
      </c>
      <c r="K3" t="s">
        <v>90</v>
      </c>
      <c r="L3">
        <v>1</v>
      </c>
      <c r="M3">
        <v>9</v>
      </c>
      <c r="N3">
        <v>27</v>
      </c>
      <c r="O3" t="s">
        <v>76</v>
      </c>
      <c r="P3" t="s">
        <v>84</v>
      </c>
      <c r="Q3">
        <v>0</v>
      </c>
      <c r="R3" t="s">
        <v>8</v>
      </c>
    </row>
    <row r="4" spans="1:20" hidden="1" x14ac:dyDescent="0.25">
      <c r="A4">
        <v>3</v>
      </c>
      <c r="B4" t="s">
        <v>16</v>
      </c>
      <c r="C4" t="s">
        <v>16</v>
      </c>
      <c r="D4" t="s">
        <v>106</v>
      </c>
      <c r="E4" t="s">
        <v>106</v>
      </c>
      <c r="F4" t="s">
        <v>16</v>
      </c>
      <c r="G4" t="s">
        <v>16</v>
      </c>
      <c r="H4" t="s">
        <v>106</v>
      </c>
      <c r="I4" t="s">
        <v>106</v>
      </c>
      <c r="J4" t="s">
        <v>101</v>
      </c>
      <c r="K4" t="s">
        <v>90</v>
      </c>
      <c r="L4">
        <v>0</v>
      </c>
      <c r="O4" t="s">
        <v>76</v>
      </c>
      <c r="P4" t="s">
        <v>21</v>
      </c>
      <c r="Q4">
        <v>0</v>
      </c>
      <c r="R4" t="s">
        <v>8</v>
      </c>
    </row>
    <row r="5" spans="1:20" x14ac:dyDescent="0.25">
      <c r="A5">
        <v>4</v>
      </c>
      <c r="B5" t="s">
        <v>27</v>
      </c>
      <c r="C5" t="s">
        <v>27</v>
      </c>
      <c r="D5" t="s">
        <v>27</v>
      </c>
      <c r="E5" t="s">
        <v>27</v>
      </c>
      <c r="F5" t="s">
        <v>16</v>
      </c>
      <c r="G5" t="s">
        <v>16</v>
      </c>
      <c r="H5" t="s">
        <v>16</v>
      </c>
      <c r="I5" t="s">
        <v>16</v>
      </c>
      <c r="J5" t="s">
        <v>25</v>
      </c>
      <c r="K5" t="s">
        <v>90</v>
      </c>
      <c r="L5">
        <v>0</v>
      </c>
      <c r="O5" t="s">
        <v>76</v>
      </c>
      <c r="P5" t="s">
        <v>21</v>
      </c>
      <c r="Q5">
        <v>0</v>
      </c>
      <c r="R5" t="s">
        <v>8</v>
      </c>
      <c r="T5" t="s">
        <v>159</v>
      </c>
    </row>
    <row r="6" spans="1:20" hidden="1" x14ac:dyDescent="0.25">
      <c r="A6">
        <v>5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37</v>
      </c>
      <c r="K6" t="s">
        <v>90</v>
      </c>
      <c r="L6">
        <v>0</v>
      </c>
      <c r="O6" t="s">
        <v>76</v>
      </c>
      <c r="P6" t="s">
        <v>21</v>
      </c>
      <c r="Q6">
        <v>0</v>
      </c>
      <c r="R6" t="s">
        <v>8</v>
      </c>
      <c r="S6" t="s">
        <v>24</v>
      </c>
    </row>
    <row r="7" spans="1:20" hidden="1" x14ac:dyDescent="0.25">
      <c r="A7">
        <v>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38</v>
      </c>
      <c r="K7" t="s">
        <v>90</v>
      </c>
      <c r="L7">
        <v>0</v>
      </c>
      <c r="O7" t="s">
        <v>76</v>
      </c>
      <c r="P7" t="s">
        <v>21</v>
      </c>
      <c r="Q7">
        <v>0</v>
      </c>
      <c r="R7" t="s">
        <v>8</v>
      </c>
      <c r="S7" t="s">
        <v>23</v>
      </c>
    </row>
    <row r="8" spans="1:20" hidden="1" x14ac:dyDescent="0.25">
      <c r="A8">
        <v>7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39</v>
      </c>
      <c r="K8" t="s">
        <v>90</v>
      </c>
      <c r="L8">
        <v>0</v>
      </c>
      <c r="O8" t="s">
        <v>76</v>
      </c>
      <c r="P8" t="s">
        <v>88</v>
      </c>
      <c r="Q8">
        <v>0</v>
      </c>
      <c r="R8" t="s">
        <v>8</v>
      </c>
      <c r="S8" t="s">
        <v>40</v>
      </c>
    </row>
    <row r="9" spans="1:20" x14ac:dyDescent="0.25">
      <c r="A9">
        <v>8</v>
      </c>
      <c r="B9" t="s">
        <v>16</v>
      </c>
      <c r="C9" t="s">
        <v>27</v>
      </c>
      <c r="D9" t="s">
        <v>16</v>
      </c>
      <c r="E9" t="s">
        <v>16</v>
      </c>
      <c r="F9" t="s">
        <v>16</v>
      </c>
      <c r="G9" t="s">
        <v>27</v>
      </c>
      <c r="H9" t="s">
        <v>16</v>
      </c>
      <c r="I9" s="1" t="s">
        <v>27</v>
      </c>
      <c r="J9" t="s">
        <v>149</v>
      </c>
      <c r="K9" t="s">
        <v>90</v>
      </c>
      <c r="L9">
        <v>1</v>
      </c>
      <c r="M9">
        <v>1</v>
      </c>
      <c r="N9" s="3">
        <v>30</v>
      </c>
      <c r="O9" t="s">
        <v>86</v>
      </c>
      <c r="P9" t="s">
        <v>84</v>
      </c>
      <c r="Q9">
        <v>0</v>
      </c>
      <c r="R9" t="s">
        <v>8</v>
      </c>
    </row>
    <row r="10" spans="1:20" x14ac:dyDescent="0.25">
      <c r="A10">
        <v>9</v>
      </c>
      <c r="B10" t="s">
        <v>27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102</v>
      </c>
      <c r="K10" t="s">
        <v>90</v>
      </c>
      <c r="L10">
        <v>1</v>
      </c>
      <c r="M10">
        <v>900</v>
      </c>
      <c r="N10">
        <v>17000</v>
      </c>
      <c r="O10" t="s">
        <v>86</v>
      </c>
      <c r="P10" t="s">
        <v>84</v>
      </c>
      <c r="Q10">
        <v>1</v>
      </c>
      <c r="R10" t="s">
        <v>8</v>
      </c>
      <c r="T10" t="s">
        <v>159</v>
      </c>
    </row>
    <row r="11" spans="1:20" hidden="1" x14ac:dyDescent="0.25">
      <c r="A11">
        <v>10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156</v>
      </c>
      <c r="K11" t="s">
        <v>90</v>
      </c>
      <c r="L11">
        <v>1</v>
      </c>
      <c r="M11">
        <v>0</v>
      </c>
      <c r="N11">
        <v>100</v>
      </c>
      <c r="O11" t="s">
        <v>86</v>
      </c>
      <c r="P11" t="s">
        <v>84</v>
      </c>
      <c r="Q11">
        <v>0</v>
      </c>
      <c r="R11" t="s">
        <v>8</v>
      </c>
      <c r="S11" t="s">
        <v>157</v>
      </c>
    </row>
    <row r="12" spans="1:20" x14ac:dyDescent="0.25">
      <c r="A12">
        <v>11</v>
      </c>
      <c r="B12" t="s">
        <v>27</v>
      </c>
      <c r="C12" t="s">
        <v>27</v>
      </c>
      <c r="D12" t="s">
        <v>27</v>
      </c>
      <c r="E12" t="s">
        <v>16</v>
      </c>
      <c r="F12" t="s">
        <v>27</v>
      </c>
      <c r="G12" t="s">
        <v>27</v>
      </c>
      <c r="H12" t="s">
        <v>27</v>
      </c>
      <c r="I12" t="s">
        <v>27</v>
      </c>
      <c r="J12" t="s">
        <v>41</v>
      </c>
      <c r="K12" t="s">
        <v>90</v>
      </c>
      <c r="L12">
        <v>1</v>
      </c>
      <c r="M12">
        <v>18</v>
      </c>
      <c r="N12">
        <v>100</v>
      </c>
      <c r="O12" t="s">
        <v>86</v>
      </c>
      <c r="P12" t="s">
        <v>84</v>
      </c>
      <c r="Q12">
        <v>0</v>
      </c>
      <c r="R12" t="s">
        <v>1</v>
      </c>
      <c r="S12" t="s">
        <v>42</v>
      </c>
    </row>
    <row r="13" spans="1:20" hidden="1" x14ac:dyDescent="0.25">
      <c r="A13">
        <v>12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43</v>
      </c>
      <c r="K13" t="s">
        <v>90</v>
      </c>
      <c r="L13">
        <v>0</v>
      </c>
      <c r="O13" t="s">
        <v>76</v>
      </c>
      <c r="P13" t="s">
        <v>88</v>
      </c>
      <c r="Q13">
        <v>0</v>
      </c>
      <c r="R13" t="s">
        <v>1</v>
      </c>
    </row>
    <row r="14" spans="1:20" hidden="1" x14ac:dyDescent="0.25">
      <c r="A14">
        <v>13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44</v>
      </c>
      <c r="K14" t="s">
        <v>90</v>
      </c>
      <c r="L14">
        <v>0</v>
      </c>
      <c r="O14" t="s">
        <v>76</v>
      </c>
      <c r="P14" t="s">
        <v>21</v>
      </c>
      <c r="Q14">
        <v>0</v>
      </c>
      <c r="R14" t="s">
        <v>1</v>
      </c>
      <c r="S14" t="s">
        <v>29</v>
      </c>
    </row>
    <row r="15" spans="1:20" hidden="1" x14ac:dyDescent="0.25">
      <c r="A15">
        <v>14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45</v>
      </c>
      <c r="K15" t="s">
        <v>90</v>
      </c>
      <c r="L15">
        <v>0</v>
      </c>
      <c r="O15" t="s">
        <v>76</v>
      </c>
      <c r="P15" t="s">
        <v>21</v>
      </c>
      <c r="Q15">
        <v>0</v>
      </c>
      <c r="R15" t="s">
        <v>1</v>
      </c>
      <c r="S15" t="s">
        <v>32</v>
      </c>
    </row>
    <row r="16" spans="1:20" x14ac:dyDescent="0.25">
      <c r="A16">
        <v>15</v>
      </c>
      <c r="B16" t="s">
        <v>27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81</v>
      </c>
      <c r="K16" t="s">
        <v>90</v>
      </c>
      <c r="L16">
        <v>0</v>
      </c>
      <c r="O16" t="s">
        <v>76</v>
      </c>
      <c r="P16" t="s">
        <v>21</v>
      </c>
      <c r="Q16">
        <v>0</v>
      </c>
      <c r="R16" t="s">
        <v>1</v>
      </c>
    </row>
    <row r="17" spans="1:20" hidden="1" x14ac:dyDescent="0.25">
      <c r="A17">
        <v>16</v>
      </c>
      <c r="B17" t="s">
        <v>16</v>
      </c>
      <c r="C17" t="s">
        <v>16</v>
      </c>
      <c r="D17" t="s">
        <v>106</v>
      </c>
      <c r="E17" t="s">
        <v>16</v>
      </c>
      <c r="F17" t="s">
        <v>16</v>
      </c>
      <c r="G17" t="s">
        <v>16</v>
      </c>
      <c r="H17" t="s">
        <v>106</v>
      </c>
      <c r="I17" t="s">
        <v>16</v>
      </c>
      <c r="J17" t="s">
        <v>46</v>
      </c>
      <c r="K17" t="s">
        <v>90</v>
      </c>
      <c r="L17">
        <v>0</v>
      </c>
      <c r="O17" t="s">
        <v>76</v>
      </c>
      <c r="P17" t="s">
        <v>21</v>
      </c>
      <c r="Q17">
        <v>0</v>
      </c>
      <c r="R17" t="s">
        <v>1</v>
      </c>
    </row>
    <row r="18" spans="1:20" hidden="1" x14ac:dyDescent="0.25">
      <c r="A18">
        <v>17</v>
      </c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47</v>
      </c>
      <c r="K18" t="s">
        <v>90</v>
      </c>
      <c r="L18">
        <v>0</v>
      </c>
      <c r="O18" t="s">
        <v>76</v>
      </c>
      <c r="P18" t="s">
        <v>21</v>
      </c>
      <c r="Q18">
        <v>0</v>
      </c>
      <c r="R18" t="s">
        <v>1</v>
      </c>
      <c r="S18" t="s">
        <v>31</v>
      </c>
    </row>
    <row r="19" spans="1:20" x14ac:dyDescent="0.25">
      <c r="A19">
        <v>18</v>
      </c>
      <c r="B19" s="1" t="s">
        <v>27</v>
      </c>
      <c r="C19" t="s">
        <v>27</v>
      </c>
      <c r="D19" t="s">
        <v>27</v>
      </c>
      <c r="E19" t="s">
        <v>27</v>
      </c>
      <c r="F19" s="1" t="s">
        <v>27</v>
      </c>
      <c r="G19" t="s">
        <v>27</v>
      </c>
      <c r="H19" t="s">
        <v>27</v>
      </c>
      <c r="I19" t="s">
        <v>27</v>
      </c>
      <c r="J19" t="s">
        <v>48</v>
      </c>
      <c r="K19" t="s">
        <v>90</v>
      </c>
      <c r="L19">
        <v>1</v>
      </c>
      <c r="M19">
        <v>0</v>
      </c>
      <c r="N19">
        <v>10</v>
      </c>
      <c r="O19" t="s">
        <v>86</v>
      </c>
      <c r="P19" t="s">
        <v>84</v>
      </c>
      <c r="Q19">
        <v>0</v>
      </c>
      <c r="R19" t="s">
        <v>1</v>
      </c>
      <c r="T19" t="s">
        <v>159</v>
      </c>
    </row>
    <row r="20" spans="1:20" hidden="1" x14ac:dyDescent="0.25">
      <c r="A20">
        <v>19</v>
      </c>
      <c r="B20" t="s">
        <v>106</v>
      </c>
      <c r="C20" t="s">
        <v>16</v>
      </c>
      <c r="D20" t="s">
        <v>106</v>
      </c>
      <c r="E20" t="s">
        <v>16</v>
      </c>
      <c r="F20" t="s">
        <v>106</v>
      </c>
      <c r="G20" t="s">
        <v>16</v>
      </c>
      <c r="H20" t="s">
        <v>16</v>
      </c>
      <c r="I20" t="s">
        <v>16</v>
      </c>
      <c r="J20" t="s">
        <v>49</v>
      </c>
      <c r="K20" t="s">
        <v>90</v>
      </c>
      <c r="L20">
        <v>1</v>
      </c>
      <c r="M20">
        <v>0</v>
      </c>
      <c r="N20">
        <v>7</v>
      </c>
      <c r="O20" t="s">
        <v>76</v>
      </c>
      <c r="P20" t="s">
        <v>84</v>
      </c>
      <c r="Q20">
        <v>0</v>
      </c>
      <c r="R20" t="s">
        <v>1</v>
      </c>
      <c r="S20" t="s">
        <v>11</v>
      </c>
    </row>
    <row r="21" spans="1:20" hidden="1" x14ac:dyDescent="0.25">
      <c r="A21">
        <v>20</v>
      </c>
      <c r="B21" t="s">
        <v>106</v>
      </c>
      <c r="C21" t="s">
        <v>16</v>
      </c>
      <c r="D21" t="s">
        <v>106</v>
      </c>
      <c r="E21" t="s">
        <v>16</v>
      </c>
      <c r="F21" t="s">
        <v>106</v>
      </c>
      <c r="G21" t="s">
        <v>16</v>
      </c>
      <c r="H21" t="s">
        <v>106</v>
      </c>
      <c r="I21" t="s">
        <v>16</v>
      </c>
      <c r="J21" t="s">
        <v>50</v>
      </c>
      <c r="K21" t="s">
        <v>90</v>
      </c>
      <c r="L21">
        <v>0</v>
      </c>
      <c r="O21" t="s">
        <v>76</v>
      </c>
      <c r="P21" t="s">
        <v>21</v>
      </c>
      <c r="Q21">
        <v>0</v>
      </c>
      <c r="R21" t="s">
        <v>1</v>
      </c>
    </row>
    <row r="22" spans="1:20" x14ac:dyDescent="0.25">
      <c r="A22">
        <v>21</v>
      </c>
      <c r="B22" t="s">
        <v>27</v>
      </c>
      <c r="C22" t="s">
        <v>27</v>
      </c>
      <c r="D22" t="s">
        <v>27</v>
      </c>
      <c r="E22" t="s">
        <v>27</v>
      </c>
      <c r="F22" t="s">
        <v>16</v>
      </c>
      <c r="G22" t="s">
        <v>16</v>
      </c>
      <c r="H22" t="s">
        <v>16</v>
      </c>
      <c r="I22" t="s">
        <v>16</v>
      </c>
      <c r="J22" t="s">
        <v>51</v>
      </c>
      <c r="K22" t="s">
        <v>90</v>
      </c>
      <c r="L22">
        <v>1</v>
      </c>
      <c r="M22">
        <v>1000</v>
      </c>
      <c r="N22">
        <v>99999</v>
      </c>
      <c r="O22" t="s">
        <v>76</v>
      </c>
      <c r="P22" t="s">
        <v>84</v>
      </c>
      <c r="Q22">
        <v>0</v>
      </c>
      <c r="R22" t="s">
        <v>13</v>
      </c>
      <c r="T22" t="s">
        <v>159</v>
      </c>
    </row>
    <row r="23" spans="1:20" hidden="1" x14ac:dyDescent="0.25">
      <c r="A23">
        <v>22</v>
      </c>
      <c r="B23" t="s">
        <v>106</v>
      </c>
      <c r="C23" t="s">
        <v>16</v>
      </c>
      <c r="D23" t="s">
        <v>106</v>
      </c>
      <c r="E23" t="s">
        <v>16</v>
      </c>
      <c r="F23" t="s">
        <v>106</v>
      </c>
      <c r="G23" t="s">
        <v>16</v>
      </c>
      <c r="H23" t="s">
        <v>106</v>
      </c>
      <c r="I23" t="s">
        <v>16</v>
      </c>
      <c r="J23" t="s">
        <v>52</v>
      </c>
      <c r="K23" t="s">
        <v>90</v>
      </c>
      <c r="L23">
        <v>1</v>
      </c>
      <c r="M23">
        <v>0</v>
      </c>
      <c r="N23">
        <v>70</v>
      </c>
      <c r="O23" t="s">
        <v>86</v>
      </c>
      <c r="P23" t="s">
        <v>84</v>
      </c>
      <c r="Q23">
        <v>0</v>
      </c>
      <c r="R23" t="s">
        <v>13</v>
      </c>
      <c r="S23" t="s">
        <v>33</v>
      </c>
    </row>
    <row r="24" spans="1:20" hidden="1" x14ac:dyDescent="0.25">
      <c r="A24">
        <v>23</v>
      </c>
      <c r="B24" t="s">
        <v>106</v>
      </c>
      <c r="C24" t="s">
        <v>16</v>
      </c>
      <c r="D24" t="s">
        <v>16</v>
      </c>
      <c r="E24" t="s">
        <v>16</v>
      </c>
      <c r="F24" t="s">
        <v>106</v>
      </c>
      <c r="G24" t="s">
        <v>16</v>
      </c>
      <c r="H24" t="s">
        <v>16</v>
      </c>
      <c r="I24" t="s">
        <v>16</v>
      </c>
      <c r="J24" t="s">
        <v>53</v>
      </c>
      <c r="K24" t="s">
        <v>90</v>
      </c>
      <c r="L24">
        <v>0</v>
      </c>
      <c r="O24" t="s">
        <v>76</v>
      </c>
      <c r="P24" t="s">
        <v>21</v>
      </c>
      <c r="Q24">
        <v>0</v>
      </c>
      <c r="R24" t="s">
        <v>13</v>
      </c>
    </row>
    <row r="25" spans="1:20" hidden="1" x14ac:dyDescent="0.25">
      <c r="A25">
        <v>24</v>
      </c>
      <c r="B25" t="s">
        <v>106</v>
      </c>
      <c r="C25" t="s">
        <v>16</v>
      </c>
      <c r="D25" t="s">
        <v>106</v>
      </c>
      <c r="E25" t="s">
        <v>16</v>
      </c>
      <c r="F25" t="s">
        <v>106</v>
      </c>
      <c r="G25" t="s">
        <v>16</v>
      </c>
      <c r="H25" t="s">
        <v>106</v>
      </c>
      <c r="I25" t="s">
        <v>16</v>
      </c>
      <c r="J25" t="s">
        <v>54</v>
      </c>
      <c r="K25" t="s">
        <v>90</v>
      </c>
      <c r="L25">
        <v>0</v>
      </c>
      <c r="O25" t="s">
        <v>76</v>
      </c>
      <c r="P25" t="s">
        <v>21</v>
      </c>
      <c r="Q25">
        <v>0</v>
      </c>
      <c r="R25" t="s">
        <v>13</v>
      </c>
      <c r="S25" t="s">
        <v>12</v>
      </c>
    </row>
    <row r="26" spans="1:20" hidden="1" x14ac:dyDescent="0.25">
      <c r="A26">
        <v>25</v>
      </c>
      <c r="B26" t="s">
        <v>16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55</v>
      </c>
      <c r="K26" t="s">
        <v>90</v>
      </c>
      <c r="L26">
        <v>0</v>
      </c>
      <c r="O26" t="s">
        <v>21</v>
      </c>
      <c r="P26" t="s">
        <v>21</v>
      </c>
      <c r="Q26">
        <v>0</v>
      </c>
      <c r="R26" t="s">
        <v>2</v>
      </c>
      <c r="S26" t="s">
        <v>34</v>
      </c>
    </row>
    <row r="27" spans="1:20" hidden="1" x14ac:dyDescent="0.25">
      <c r="A27">
        <v>26</v>
      </c>
      <c r="B27" t="s">
        <v>16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14</v>
      </c>
      <c r="K27" t="s">
        <v>90</v>
      </c>
      <c r="L27">
        <v>0</v>
      </c>
      <c r="O27" t="s">
        <v>21</v>
      </c>
      <c r="P27" t="s">
        <v>21</v>
      </c>
      <c r="Q27">
        <v>0</v>
      </c>
      <c r="R27" t="s">
        <v>2</v>
      </c>
      <c r="S27" t="s">
        <v>35</v>
      </c>
    </row>
    <row r="28" spans="1:20" hidden="1" x14ac:dyDescent="0.25">
      <c r="A28">
        <v>27</v>
      </c>
      <c r="B28" t="s">
        <v>106</v>
      </c>
      <c r="C28" t="s">
        <v>16</v>
      </c>
      <c r="D28" t="s">
        <v>16</v>
      </c>
      <c r="E28" t="s">
        <v>16</v>
      </c>
      <c r="F28" t="s">
        <v>106</v>
      </c>
      <c r="G28" t="s">
        <v>16</v>
      </c>
      <c r="H28" t="s">
        <v>16</v>
      </c>
      <c r="I28" t="s">
        <v>16</v>
      </c>
      <c r="J28" t="s">
        <v>15</v>
      </c>
      <c r="K28" t="s">
        <v>90</v>
      </c>
      <c r="L28">
        <v>1</v>
      </c>
      <c r="M28">
        <v>0</v>
      </c>
      <c r="N28">
        <v>53</v>
      </c>
      <c r="O28" t="s">
        <v>86</v>
      </c>
      <c r="P28" t="s">
        <v>84</v>
      </c>
      <c r="Q28">
        <v>0</v>
      </c>
      <c r="R28" t="s">
        <v>2</v>
      </c>
      <c r="S28" t="s">
        <v>36</v>
      </c>
    </row>
    <row r="29" spans="1:20" hidden="1" x14ac:dyDescent="0.25">
      <c r="A29">
        <v>28</v>
      </c>
      <c r="B29" t="s">
        <v>16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56</v>
      </c>
      <c r="K29" t="s">
        <v>90</v>
      </c>
      <c r="L29">
        <v>1</v>
      </c>
      <c r="M29">
        <v>1000</v>
      </c>
      <c r="N29">
        <v>99999</v>
      </c>
      <c r="O29" t="s">
        <v>76</v>
      </c>
      <c r="P29" t="s">
        <v>84</v>
      </c>
      <c r="Q29">
        <v>0</v>
      </c>
      <c r="R29" t="s">
        <v>2</v>
      </c>
    </row>
    <row r="30" spans="1:20" hidden="1" x14ac:dyDescent="0.25">
      <c r="A30">
        <v>29</v>
      </c>
      <c r="B30" t="s">
        <v>16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57</v>
      </c>
      <c r="K30" t="s">
        <v>90</v>
      </c>
      <c r="L30">
        <v>0</v>
      </c>
      <c r="O30" t="s">
        <v>76</v>
      </c>
      <c r="P30" s="1" t="s">
        <v>21</v>
      </c>
      <c r="Q30" s="1">
        <v>0</v>
      </c>
      <c r="R30" t="s">
        <v>3</v>
      </c>
    </row>
    <row r="31" spans="1:20" hidden="1" x14ac:dyDescent="0.25">
      <c r="A31">
        <v>30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105</v>
      </c>
      <c r="K31" t="s">
        <v>90</v>
      </c>
      <c r="L31">
        <v>0</v>
      </c>
      <c r="O31" t="s">
        <v>76</v>
      </c>
      <c r="P31" t="s">
        <v>21</v>
      </c>
      <c r="Q31">
        <v>0</v>
      </c>
      <c r="R31" t="s">
        <v>3</v>
      </c>
    </row>
    <row r="32" spans="1:20" hidden="1" x14ac:dyDescent="0.25">
      <c r="A32">
        <v>31</v>
      </c>
      <c r="B32" t="s">
        <v>16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58</v>
      </c>
      <c r="K32" t="s">
        <v>90</v>
      </c>
      <c r="L32">
        <v>0</v>
      </c>
      <c r="O32" t="s">
        <v>76</v>
      </c>
      <c r="P32" t="s">
        <v>21</v>
      </c>
      <c r="Q32">
        <v>0</v>
      </c>
      <c r="R32" t="s">
        <v>3</v>
      </c>
    </row>
    <row r="33" spans="1:20" hidden="1" x14ac:dyDescent="0.25">
      <c r="A33">
        <v>32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59</v>
      </c>
      <c r="K33" t="s">
        <v>90</v>
      </c>
      <c r="L33">
        <v>0</v>
      </c>
      <c r="O33" t="s">
        <v>76</v>
      </c>
      <c r="P33" t="s">
        <v>21</v>
      </c>
      <c r="Q33">
        <v>0</v>
      </c>
      <c r="R33" t="s">
        <v>3</v>
      </c>
    </row>
    <row r="34" spans="1:20" hidden="1" x14ac:dyDescent="0.25">
      <c r="A34">
        <v>33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60</v>
      </c>
      <c r="K34" t="s">
        <v>90</v>
      </c>
      <c r="L34">
        <v>1</v>
      </c>
      <c r="M34">
        <v>1000</v>
      </c>
      <c r="N34">
        <v>99999</v>
      </c>
      <c r="O34" t="s">
        <v>76</v>
      </c>
      <c r="P34" t="s">
        <v>84</v>
      </c>
      <c r="Q34">
        <v>0</v>
      </c>
      <c r="R34" t="s">
        <v>3</v>
      </c>
    </row>
    <row r="35" spans="1:20" x14ac:dyDescent="0.25">
      <c r="A35">
        <v>34</v>
      </c>
      <c r="B35" t="s">
        <v>27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61</v>
      </c>
      <c r="K35" t="s">
        <v>90</v>
      </c>
      <c r="L35">
        <v>1</v>
      </c>
      <c r="M35">
        <v>0</v>
      </c>
      <c r="N35" s="3">
        <v>50000</v>
      </c>
      <c r="O35" t="s">
        <v>86</v>
      </c>
      <c r="P35" t="s">
        <v>84</v>
      </c>
      <c r="Q35">
        <v>1</v>
      </c>
      <c r="R35" t="s">
        <v>4</v>
      </c>
      <c r="T35" t="s">
        <v>159</v>
      </c>
    </row>
    <row r="36" spans="1:20" x14ac:dyDescent="0.25">
      <c r="A36">
        <v>35</v>
      </c>
      <c r="B36" t="s">
        <v>27</v>
      </c>
      <c r="C36" t="s">
        <v>27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62</v>
      </c>
      <c r="K36" t="s">
        <v>90</v>
      </c>
      <c r="L36">
        <v>1</v>
      </c>
      <c r="M36">
        <v>0</v>
      </c>
      <c r="N36" s="3">
        <v>50000</v>
      </c>
      <c r="O36" t="s">
        <v>86</v>
      </c>
      <c r="P36" t="s">
        <v>84</v>
      </c>
      <c r="Q36">
        <v>1</v>
      </c>
      <c r="R36" t="s">
        <v>5</v>
      </c>
      <c r="T36" t="s">
        <v>159</v>
      </c>
    </row>
    <row r="37" spans="1:20" hidden="1" x14ac:dyDescent="0.25">
      <c r="A37">
        <v>36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63</v>
      </c>
      <c r="K37" t="s">
        <v>90</v>
      </c>
      <c r="L37">
        <v>0</v>
      </c>
      <c r="N37" s="1"/>
      <c r="O37" t="s">
        <v>76</v>
      </c>
      <c r="P37" t="s">
        <v>21</v>
      </c>
      <c r="Q37">
        <v>0</v>
      </c>
      <c r="R37" t="s">
        <v>6</v>
      </c>
    </row>
    <row r="38" spans="1:20" hidden="1" x14ac:dyDescent="0.25">
      <c r="A38">
        <v>37</v>
      </c>
      <c r="B38" t="s">
        <v>106</v>
      </c>
      <c r="C38" t="s">
        <v>16</v>
      </c>
      <c r="D38" t="s">
        <v>106</v>
      </c>
      <c r="E38" t="s">
        <v>16</v>
      </c>
      <c r="F38" t="s">
        <v>106</v>
      </c>
      <c r="G38" t="s">
        <v>16</v>
      </c>
      <c r="H38" t="s">
        <v>106</v>
      </c>
      <c r="I38" t="s">
        <v>16</v>
      </c>
      <c r="J38" t="s">
        <v>64</v>
      </c>
      <c r="K38" t="s">
        <v>90</v>
      </c>
      <c r="L38">
        <v>0</v>
      </c>
      <c r="O38" t="s">
        <v>76</v>
      </c>
      <c r="P38" t="s">
        <v>21</v>
      </c>
      <c r="Q38">
        <v>0</v>
      </c>
      <c r="R38" t="s">
        <v>6</v>
      </c>
    </row>
    <row r="39" spans="1:20" hidden="1" x14ac:dyDescent="0.25">
      <c r="A39">
        <v>38</v>
      </c>
      <c r="B39" t="s">
        <v>16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65</v>
      </c>
      <c r="K39" t="s">
        <v>90</v>
      </c>
      <c r="L39">
        <v>0</v>
      </c>
      <c r="O39" t="s">
        <v>76</v>
      </c>
      <c r="P39" t="s">
        <v>88</v>
      </c>
      <c r="Q39">
        <v>0</v>
      </c>
      <c r="R39" t="s">
        <v>7</v>
      </c>
    </row>
    <row r="40" spans="1:20" hidden="1" x14ac:dyDescent="0.25">
      <c r="A40">
        <v>39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66</v>
      </c>
      <c r="K40" t="s">
        <v>90</v>
      </c>
      <c r="L40">
        <v>0</v>
      </c>
      <c r="O40" t="s">
        <v>76</v>
      </c>
      <c r="P40" t="s">
        <v>21</v>
      </c>
      <c r="Q40">
        <v>0</v>
      </c>
      <c r="R40" t="s">
        <v>7</v>
      </c>
    </row>
    <row r="41" spans="1:20" hidden="1" x14ac:dyDescent="0.25">
      <c r="A41">
        <v>40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82</v>
      </c>
      <c r="K41" t="s">
        <v>90</v>
      </c>
      <c r="L41">
        <v>0</v>
      </c>
      <c r="O41" t="s">
        <v>76</v>
      </c>
      <c r="P41" t="s">
        <v>21</v>
      </c>
      <c r="Q41">
        <v>0</v>
      </c>
      <c r="R41" t="s">
        <v>7</v>
      </c>
    </row>
    <row r="42" spans="1:20" hidden="1" x14ac:dyDescent="0.25">
      <c r="A42">
        <v>41</v>
      </c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67</v>
      </c>
      <c r="K42" t="s">
        <v>90</v>
      </c>
      <c r="L42">
        <v>0</v>
      </c>
      <c r="O42" t="s">
        <v>76</v>
      </c>
      <c r="P42" t="s">
        <v>21</v>
      </c>
      <c r="Q42">
        <v>0</v>
      </c>
      <c r="R42" t="s">
        <v>7</v>
      </c>
    </row>
    <row r="43" spans="1:20" hidden="1" x14ac:dyDescent="0.25">
      <c r="A43">
        <v>42</v>
      </c>
      <c r="B43" t="s">
        <v>16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68</v>
      </c>
      <c r="K43" t="s">
        <v>90</v>
      </c>
      <c r="L43">
        <v>0</v>
      </c>
      <c r="O43" t="s">
        <v>76</v>
      </c>
      <c r="P43" t="s">
        <v>21</v>
      </c>
      <c r="Q43">
        <v>0</v>
      </c>
      <c r="R43" t="s">
        <v>7</v>
      </c>
    </row>
    <row r="44" spans="1:20" hidden="1" x14ac:dyDescent="0.25">
      <c r="A44">
        <v>43</v>
      </c>
      <c r="B44" t="s">
        <v>16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69</v>
      </c>
      <c r="K44" t="s">
        <v>90</v>
      </c>
      <c r="L44">
        <v>1</v>
      </c>
      <c r="M44">
        <v>0</v>
      </c>
      <c r="N44">
        <v>10</v>
      </c>
      <c r="O44" t="s">
        <v>19</v>
      </c>
      <c r="P44" t="s">
        <v>84</v>
      </c>
      <c r="Q44">
        <v>0</v>
      </c>
      <c r="R44" t="s">
        <v>7</v>
      </c>
    </row>
    <row r="45" spans="1:20" hidden="1" x14ac:dyDescent="0.25">
      <c r="A45">
        <v>44</v>
      </c>
      <c r="B45" t="s">
        <v>16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70</v>
      </c>
      <c r="K45" t="s">
        <v>90</v>
      </c>
      <c r="L45">
        <v>0</v>
      </c>
      <c r="O45" t="s">
        <v>76</v>
      </c>
      <c r="P45" t="s">
        <v>21</v>
      </c>
      <c r="Q45">
        <v>0</v>
      </c>
      <c r="R45" t="s">
        <v>7</v>
      </c>
    </row>
    <row r="46" spans="1:20" hidden="1" x14ac:dyDescent="0.25">
      <c r="A46">
        <v>45</v>
      </c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71</v>
      </c>
      <c r="K46" t="s">
        <v>90</v>
      </c>
      <c r="L46">
        <v>0</v>
      </c>
      <c r="O46" t="s">
        <v>76</v>
      </c>
      <c r="P46" t="s">
        <v>21</v>
      </c>
      <c r="Q46">
        <v>0</v>
      </c>
      <c r="R46" t="s">
        <v>7</v>
      </c>
    </row>
    <row r="47" spans="1:20" hidden="1" x14ac:dyDescent="0.25">
      <c r="A47">
        <v>46</v>
      </c>
      <c r="B47" t="s">
        <v>16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72</v>
      </c>
      <c r="K47" t="s">
        <v>90</v>
      </c>
      <c r="L47">
        <v>0</v>
      </c>
      <c r="O47" t="s">
        <v>76</v>
      </c>
      <c r="P47" t="s">
        <v>21</v>
      </c>
      <c r="Q47">
        <v>0</v>
      </c>
      <c r="R47" t="s">
        <v>7</v>
      </c>
    </row>
    <row r="48" spans="1:20" hidden="1" x14ac:dyDescent="0.25">
      <c r="A48">
        <v>47</v>
      </c>
      <c r="B48" t="s">
        <v>106</v>
      </c>
      <c r="C48" t="s">
        <v>16</v>
      </c>
      <c r="D48" t="s">
        <v>27</v>
      </c>
      <c r="E48" t="s">
        <v>27</v>
      </c>
      <c r="F48" t="s">
        <v>106</v>
      </c>
      <c r="G48" t="s">
        <v>16</v>
      </c>
      <c r="H48" t="s">
        <v>16</v>
      </c>
      <c r="I48" t="s">
        <v>16</v>
      </c>
      <c r="J48" t="s">
        <v>87</v>
      </c>
      <c r="K48" t="s">
        <v>90</v>
      </c>
      <c r="L48">
        <v>1</v>
      </c>
      <c r="M48">
        <v>1000</v>
      </c>
      <c r="N48">
        <v>99999</v>
      </c>
      <c r="O48" t="s">
        <v>86</v>
      </c>
      <c r="P48" t="s">
        <v>84</v>
      </c>
      <c r="Q48">
        <v>0</v>
      </c>
      <c r="R48" t="s">
        <v>7</v>
      </c>
      <c r="T48" t="s">
        <v>159</v>
      </c>
    </row>
    <row r="49" spans="1:20" hidden="1" x14ac:dyDescent="0.25">
      <c r="A49">
        <v>48</v>
      </c>
      <c r="B49" t="s">
        <v>16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73</v>
      </c>
      <c r="K49" t="s">
        <v>90</v>
      </c>
      <c r="L49">
        <v>1</v>
      </c>
      <c r="M49">
        <v>0</v>
      </c>
      <c r="N49">
        <v>100</v>
      </c>
      <c r="O49" t="s">
        <v>76</v>
      </c>
      <c r="P49" t="s">
        <v>84</v>
      </c>
      <c r="Q49">
        <v>0</v>
      </c>
      <c r="R49" t="s">
        <v>7</v>
      </c>
    </row>
    <row r="50" spans="1:20" hidden="1" x14ac:dyDescent="0.25">
      <c r="A50">
        <v>49</v>
      </c>
      <c r="B50" t="s">
        <v>16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74</v>
      </c>
      <c r="K50" t="s">
        <v>90</v>
      </c>
      <c r="L50">
        <v>0</v>
      </c>
      <c r="O50" t="s">
        <v>76</v>
      </c>
      <c r="P50" t="s">
        <v>21</v>
      </c>
      <c r="Q50">
        <v>0</v>
      </c>
      <c r="R50" t="s">
        <v>7</v>
      </c>
    </row>
    <row r="51" spans="1:20" hidden="1" x14ac:dyDescent="0.25">
      <c r="A51">
        <v>50</v>
      </c>
      <c r="B51" t="s">
        <v>16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75</v>
      </c>
      <c r="K51" t="s">
        <v>90</v>
      </c>
      <c r="L51">
        <v>0</v>
      </c>
      <c r="O51" t="s">
        <v>76</v>
      </c>
      <c r="P51" t="s">
        <v>21</v>
      </c>
      <c r="Q51">
        <v>0</v>
      </c>
      <c r="R51" t="s">
        <v>7</v>
      </c>
    </row>
    <row r="52" spans="1:20" hidden="1" x14ac:dyDescent="0.25">
      <c r="A52">
        <v>51</v>
      </c>
      <c r="B52" t="s">
        <v>106</v>
      </c>
      <c r="C52" t="s">
        <v>106</v>
      </c>
      <c r="D52" t="s">
        <v>27</v>
      </c>
      <c r="E52" t="s">
        <v>27</v>
      </c>
      <c r="F52" t="s">
        <v>106</v>
      </c>
      <c r="G52" t="s">
        <v>106</v>
      </c>
      <c r="H52" t="s">
        <v>27</v>
      </c>
      <c r="I52" t="s">
        <v>27</v>
      </c>
      <c r="J52" t="s">
        <v>103</v>
      </c>
      <c r="K52" t="s">
        <v>90</v>
      </c>
      <c r="L52">
        <v>1</v>
      </c>
      <c r="M52">
        <v>0</v>
      </c>
      <c r="N52">
        <v>820</v>
      </c>
      <c r="O52" t="s">
        <v>86</v>
      </c>
      <c r="P52" t="s">
        <v>84</v>
      </c>
      <c r="Q52">
        <v>0</v>
      </c>
      <c r="R52" t="s">
        <v>125</v>
      </c>
      <c r="T52" t="s">
        <v>159</v>
      </c>
    </row>
    <row r="53" spans="1:20" x14ac:dyDescent="0.25">
      <c r="A53">
        <v>52</v>
      </c>
      <c r="B53" t="s">
        <v>16</v>
      </c>
      <c r="C53" t="s">
        <v>27</v>
      </c>
      <c r="D53" t="s">
        <v>16</v>
      </c>
      <c r="E53" t="s">
        <v>16</v>
      </c>
      <c r="F53" t="s">
        <v>16</v>
      </c>
      <c r="G53" t="s">
        <v>27</v>
      </c>
      <c r="H53" t="s">
        <v>16</v>
      </c>
      <c r="I53" t="s">
        <v>27</v>
      </c>
      <c r="J53" t="s">
        <v>147</v>
      </c>
      <c r="K53" t="s">
        <v>90</v>
      </c>
      <c r="L53">
        <v>1</v>
      </c>
      <c r="M53">
        <v>0</v>
      </c>
      <c r="N53">
        <v>5</v>
      </c>
      <c r="O53" t="s">
        <v>86</v>
      </c>
      <c r="P53" t="s">
        <v>85</v>
      </c>
      <c r="Q53">
        <v>0</v>
      </c>
      <c r="R53" t="s">
        <v>143</v>
      </c>
    </row>
    <row r="54" spans="1:20" x14ac:dyDescent="0.25">
      <c r="A54">
        <v>53</v>
      </c>
      <c r="B54" t="s">
        <v>16</v>
      </c>
      <c r="C54" t="s">
        <v>27</v>
      </c>
      <c r="D54" t="s">
        <v>16</v>
      </c>
      <c r="E54" t="s">
        <v>16</v>
      </c>
      <c r="F54" t="s">
        <v>16</v>
      </c>
      <c r="G54" t="s">
        <v>27</v>
      </c>
      <c r="H54" t="s">
        <v>16</v>
      </c>
      <c r="I54" t="s">
        <v>27</v>
      </c>
      <c r="J54" t="s">
        <v>148</v>
      </c>
      <c r="K54" t="s">
        <v>90</v>
      </c>
      <c r="L54">
        <v>1</v>
      </c>
      <c r="M54">
        <v>0</v>
      </c>
      <c r="N54">
        <v>17000</v>
      </c>
      <c r="O54" t="s">
        <v>86</v>
      </c>
      <c r="P54" t="s">
        <v>84</v>
      </c>
      <c r="Q54">
        <v>1</v>
      </c>
      <c r="R54" t="s">
        <v>143</v>
      </c>
    </row>
    <row r="55" spans="1:20" x14ac:dyDescent="0.25">
      <c r="A55">
        <v>54</v>
      </c>
      <c r="B55" t="s">
        <v>16</v>
      </c>
      <c r="C55" t="s">
        <v>27</v>
      </c>
      <c r="D55" t="s">
        <v>16</v>
      </c>
      <c r="E55" t="s">
        <v>27</v>
      </c>
      <c r="F55" t="s">
        <v>16</v>
      </c>
      <c r="G55" t="s">
        <v>27</v>
      </c>
      <c r="H55" t="s">
        <v>16</v>
      </c>
      <c r="I55" t="s">
        <v>27</v>
      </c>
      <c r="J55" t="s">
        <v>150</v>
      </c>
      <c r="K55" t="s">
        <v>90</v>
      </c>
      <c r="L55">
        <v>1</v>
      </c>
      <c r="M55">
        <v>0</v>
      </c>
      <c r="N55" s="3">
        <v>27</v>
      </c>
      <c r="O55" t="s">
        <v>86</v>
      </c>
      <c r="P55" t="s">
        <v>85</v>
      </c>
      <c r="Q55">
        <v>0</v>
      </c>
      <c r="R55" t="s">
        <v>143</v>
      </c>
    </row>
    <row r="56" spans="1:20" hidden="1" x14ac:dyDescent="0.25">
      <c r="A56">
        <v>55</v>
      </c>
      <c r="B56" t="s">
        <v>16</v>
      </c>
      <c r="C56" t="s">
        <v>106</v>
      </c>
      <c r="D56" t="s">
        <v>16</v>
      </c>
      <c r="E56" t="s">
        <v>106</v>
      </c>
      <c r="F56" t="s">
        <v>16</v>
      </c>
      <c r="G56" t="s">
        <v>106</v>
      </c>
      <c r="H56" t="s">
        <v>16</v>
      </c>
      <c r="I56" t="s">
        <v>106</v>
      </c>
      <c r="J56" t="s">
        <v>151</v>
      </c>
      <c r="K56" t="s">
        <v>90</v>
      </c>
      <c r="L56">
        <v>1</v>
      </c>
      <c r="M56">
        <v>0</v>
      </c>
      <c r="N56">
        <v>4000</v>
      </c>
      <c r="O56" t="s">
        <v>86</v>
      </c>
      <c r="P56" t="s">
        <v>85</v>
      </c>
      <c r="Q56">
        <v>1</v>
      </c>
      <c r="R56" t="s">
        <v>143</v>
      </c>
    </row>
    <row r="57" spans="1:20" hidden="1" x14ac:dyDescent="0.25">
      <c r="A57">
        <v>56</v>
      </c>
      <c r="B57" t="s">
        <v>16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107</v>
      </c>
      <c r="K57" t="s">
        <v>90</v>
      </c>
      <c r="L57">
        <v>1</v>
      </c>
      <c r="M57">
        <v>0</v>
      </c>
      <c r="N57">
        <v>2000</v>
      </c>
      <c r="O57" t="s">
        <v>86</v>
      </c>
      <c r="P57" t="s">
        <v>84</v>
      </c>
      <c r="Q57">
        <v>0</v>
      </c>
      <c r="R57" t="s">
        <v>125</v>
      </c>
    </row>
    <row r="58" spans="1:20" hidden="1" x14ac:dyDescent="0.25">
      <c r="A58">
        <v>57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108</v>
      </c>
      <c r="K58" t="s">
        <v>90</v>
      </c>
      <c r="L58">
        <v>1</v>
      </c>
      <c r="M58">
        <v>0</v>
      </c>
      <c r="N58">
        <v>2000</v>
      </c>
      <c r="O58" t="s">
        <v>86</v>
      </c>
      <c r="P58" t="s">
        <v>84</v>
      </c>
      <c r="Q58">
        <v>0</v>
      </c>
      <c r="R58" t="s">
        <v>125</v>
      </c>
    </row>
    <row r="59" spans="1:20" hidden="1" x14ac:dyDescent="0.25">
      <c r="A59">
        <v>58</v>
      </c>
      <c r="B59" t="s">
        <v>16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109</v>
      </c>
      <c r="K59" t="s">
        <v>90</v>
      </c>
      <c r="L59">
        <v>1</v>
      </c>
      <c r="M59">
        <v>0</v>
      </c>
      <c r="N59">
        <v>2000</v>
      </c>
      <c r="O59" t="s">
        <v>86</v>
      </c>
      <c r="P59" t="s">
        <v>84</v>
      </c>
      <c r="Q59">
        <v>0</v>
      </c>
      <c r="R59" t="s">
        <v>125</v>
      </c>
    </row>
    <row r="60" spans="1:20" hidden="1" x14ac:dyDescent="0.25">
      <c r="A60">
        <v>59</v>
      </c>
      <c r="B60" t="s">
        <v>16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110</v>
      </c>
      <c r="K60" t="s">
        <v>90</v>
      </c>
      <c r="L60">
        <v>1</v>
      </c>
      <c r="M60">
        <v>0</v>
      </c>
      <c r="N60">
        <v>2000</v>
      </c>
      <c r="O60" t="s">
        <v>86</v>
      </c>
      <c r="P60" t="s">
        <v>84</v>
      </c>
      <c r="Q60">
        <v>0</v>
      </c>
      <c r="R60" t="s">
        <v>125</v>
      </c>
    </row>
    <row r="61" spans="1:20" hidden="1" x14ac:dyDescent="0.25">
      <c r="A61">
        <v>60</v>
      </c>
      <c r="B61" t="s">
        <v>16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111</v>
      </c>
      <c r="K61" t="s">
        <v>90</v>
      </c>
      <c r="L61">
        <v>1</v>
      </c>
      <c r="M61">
        <v>0</v>
      </c>
      <c r="N61">
        <v>2000</v>
      </c>
      <c r="O61" t="s">
        <v>86</v>
      </c>
      <c r="P61" t="s">
        <v>84</v>
      </c>
      <c r="Q61">
        <v>0</v>
      </c>
      <c r="R61" t="s">
        <v>125</v>
      </c>
    </row>
    <row r="62" spans="1:20" hidden="1" x14ac:dyDescent="0.25">
      <c r="A62">
        <v>61</v>
      </c>
      <c r="B62" t="s">
        <v>16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112</v>
      </c>
      <c r="K62" t="s">
        <v>90</v>
      </c>
      <c r="L62">
        <v>1</v>
      </c>
      <c r="M62">
        <v>0</v>
      </c>
      <c r="N62">
        <v>2000</v>
      </c>
      <c r="O62" t="s">
        <v>86</v>
      </c>
      <c r="P62" t="s">
        <v>84</v>
      </c>
      <c r="Q62">
        <v>0</v>
      </c>
      <c r="R62" t="s">
        <v>125</v>
      </c>
    </row>
    <row r="63" spans="1:20" hidden="1" x14ac:dyDescent="0.25">
      <c r="A63">
        <v>62</v>
      </c>
      <c r="B63" t="s">
        <v>16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113</v>
      </c>
      <c r="K63" t="s">
        <v>90</v>
      </c>
      <c r="L63">
        <v>1</v>
      </c>
      <c r="M63">
        <v>0</v>
      </c>
      <c r="N63">
        <v>2000</v>
      </c>
      <c r="O63" t="s">
        <v>86</v>
      </c>
      <c r="P63" t="s">
        <v>84</v>
      </c>
      <c r="Q63">
        <v>0</v>
      </c>
      <c r="R63" t="s">
        <v>125</v>
      </c>
    </row>
    <row r="64" spans="1:20" hidden="1" x14ac:dyDescent="0.25">
      <c r="A64">
        <v>63</v>
      </c>
      <c r="B64" t="s">
        <v>16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114</v>
      </c>
      <c r="K64" t="s">
        <v>90</v>
      </c>
      <c r="L64">
        <v>1</v>
      </c>
      <c r="M64">
        <v>0</v>
      </c>
      <c r="N64">
        <v>2000</v>
      </c>
      <c r="O64" t="s">
        <v>86</v>
      </c>
      <c r="P64" t="s">
        <v>84</v>
      </c>
      <c r="Q64">
        <v>0</v>
      </c>
      <c r="R64" t="s">
        <v>125</v>
      </c>
    </row>
    <row r="65" spans="1:18" hidden="1" x14ac:dyDescent="0.25">
      <c r="A65">
        <v>64</v>
      </c>
      <c r="B65" t="s">
        <v>16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115</v>
      </c>
      <c r="K65" t="s">
        <v>90</v>
      </c>
      <c r="L65">
        <v>1</v>
      </c>
      <c r="M65">
        <v>0</v>
      </c>
      <c r="N65">
        <v>2000</v>
      </c>
      <c r="O65" t="s">
        <v>86</v>
      </c>
      <c r="P65" t="s">
        <v>84</v>
      </c>
      <c r="Q65">
        <v>0</v>
      </c>
      <c r="R65" t="s">
        <v>125</v>
      </c>
    </row>
    <row r="66" spans="1:18" hidden="1" x14ac:dyDescent="0.25">
      <c r="A66">
        <v>65</v>
      </c>
      <c r="B66" t="s">
        <v>16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116</v>
      </c>
      <c r="K66" t="s">
        <v>90</v>
      </c>
      <c r="L66">
        <v>1</v>
      </c>
      <c r="M66">
        <v>0</v>
      </c>
      <c r="N66">
        <v>2000</v>
      </c>
      <c r="O66" t="s">
        <v>86</v>
      </c>
      <c r="P66" t="s">
        <v>84</v>
      </c>
      <c r="Q66">
        <v>0</v>
      </c>
      <c r="R66" t="s">
        <v>125</v>
      </c>
    </row>
    <row r="67" spans="1:18" hidden="1" x14ac:dyDescent="0.25">
      <c r="A67">
        <v>66</v>
      </c>
      <c r="B67" t="s">
        <v>16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117</v>
      </c>
      <c r="K67" t="s">
        <v>90</v>
      </c>
      <c r="L67">
        <v>1</v>
      </c>
      <c r="M67">
        <v>0</v>
      </c>
      <c r="N67">
        <v>2000</v>
      </c>
      <c r="O67" t="s">
        <v>86</v>
      </c>
      <c r="P67" t="s">
        <v>84</v>
      </c>
      <c r="Q67">
        <v>0</v>
      </c>
      <c r="R67" t="s">
        <v>125</v>
      </c>
    </row>
    <row r="68" spans="1:18" hidden="1" x14ac:dyDescent="0.25">
      <c r="A68">
        <v>67</v>
      </c>
      <c r="B68" t="s">
        <v>16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118</v>
      </c>
      <c r="K68" t="s">
        <v>90</v>
      </c>
      <c r="L68">
        <v>1</v>
      </c>
      <c r="M68">
        <v>0</v>
      </c>
      <c r="N68">
        <v>2000</v>
      </c>
      <c r="O68" t="s">
        <v>86</v>
      </c>
      <c r="P68" t="s">
        <v>84</v>
      </c>
      <c r="Q68">
        <v>0</v>
      </c>
      <c r="R68" t="s">
        <v>125</v>
      </c>
    </row>
    <row r="69" spans="1:18" hidden="1" x14ac:dyDescent="0.25">
      <c r="A69">
        <v>68</v>
      </c>
      <c r="B69" t="s">
        <v>16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119</v>
      </c>
      <c r="K69" t="s">
        <v>90</v>
      </c>
      <c r="L69">
        <v>1</v>
      </c>
      <c r="M69">
        <v>0</v>
      </c>
      <c r="N69">
        <v>2000</v>
      </c>
      <c r="O69" t="s">
        <v>86</v>
      </c>
      <c r="P69" t="s">
        <v>84</v>
      </c>
      <c r="Q69">
        <v>0</v>
      </c>
      <c r="R69" t="s">
        <v>125</v>
      </c>
    </row>
    <row r="70" spans="1:18" hidden="1" x14ac:dyDescent="0.25">
      <c r="A70">
        <v>69</v>
      </c>
      <c r="B70" t="s">
        <v>16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120</v>
      </c>
      <c r="K70" t="s">
        <v>90</v>
      </c>
      <c r="L70">
        <v>1</v>
      </c>
      <c r="M70">
        <v>0</v>
      </c>
      <c r="N70">
        <v>2000</v>
      </c>
      <c r="O70" t="s">
        <v>86</v>
      </c>
      <c r="P70" t="s">
        <v>84</v>
      </c>
      <c r="Q70">
        <v>0</v>
      </c>
      <c r="R70" t="s">
        <v>125</v>
      </c>
    </row>
    <row r="71" spans="1:18" hidden="1" x14ac:dyDescent="0.25">
      <c r="A71">
        <v>70</v>
      </c>
      <c r="B71" t="s">
        <v>16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121</v>
      </c>
      <c r="K71" t="s">
        <v>90</v>
      </c>
      <c r="L71">
        <v>1</v>
      </c>
      <c r="M71">
        <v>0</v>
      </c>
      <c r="N71">
        <v>2000</v>
      </c>
      <c r="O71" t="s">
        <v>86</v>
      </c>
      <c r="P71" t="s">
        <v>84</v>
      </c>
      <c r="Q71">
        <v>0</v>
      </c>
      <c r="R71" t="s">
        <v>125</v>
      </c>
    </row>
    <row r="72" spans="1:18" hidden="1" x14ac:dyDescent="0.25">
      <c r="A72">
        <v>71</v>
      </c>
      <c r="B72" t="s">
        <v>16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122</v>
      </c>
      <c r="K72" t="s">
        <v>90</v>
      </c>
      <c r="L72">
        <v>1</v>
      </c>
      <c r="M72">
        <v>0</v>
      </c>
      <c r="N72">
        <v>2000</v>
      </c>
      <c r="O72" t="s">
        <v>86</v>
      </c>
      <c r="P72" t="s">
        <v>84</v>
      </c>
      <c r="Q72">
        <v>0</v>
      </c>
      <c r="R72" t="s">
        <v>125</v>
      </c>
    </row>
    <row r="73" spans="1:18" hidden="1" x14ac:dyDescent="0.25">
      <c r="A73">
        <v>72</v>
      </c>
      <c r="B73" t="s">
        <v>16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123</v>
      </c>
      <c r="K73" t="s">
        <v>90</v>
      </c>
      <c r="L73">
        <v>1</v>
      </c>
      <c r="M73">
        <v>0</v>
      </c>
      <c r="N73">
        <v>2000</v>
      </c>
      <c r="O73" t="s">
        <v>86</v>
      </c>
      <c r="P73" t="s">
        <v>84</v>
      </c>
      <c r="Q73">
        <v>0</v>
      </c>
      <c r="R73" t="s">
        <v>125</v>
      </c>
    </row>
    <row r="74" spans="1:18" hidden="1" x14ac:dyDescent="0.25">
      <c r="A74">
        <v>73</v>
      </c>
      <c r="B74" t="s">
        <v>16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124</v>
      </c>
      <c r="K74" t="s">
        <v>90</v>
      </c>
      <c r="L74">
        <v>1</v>
      </c>
      <c r="M74">
        <v>0</v>
      </c>
      <c r="N74">
        <v>2000</v>
      </c>
      <c r="O74" t="s">
        <v>86</v>
      </c>
      <c r="P74" t="s">
        <v>84</v>
      </c>
      <c r="Q74">
        <v>0</v>
      </c>
      <c r="R74" t="s">
        <v>125</v>
      </c>
    </row>
    <row r="75" spans="1:18" hidden="1" x14ac:dyDescent="0.25">
      <c r="A75">
        <v>74</v>
      </c>
      <c r="B75" t="s">
        <v>16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131</v>
      </c>
      <c r="K75" t="s">
        <v>90</v>
      </c>
      <c r="L75">
        <v>0</v>
      </c>
      <c r="O75" t="s">
        <v>76</v>
      </c>
      <c r="P75" t="s">
        <v>21</v>
      </c>
      <c r="Q75">
        <v>0</v>
      </c>
      <c r="R75" t="s">
        <v>125</v>
      </c>
    </row>
    <row r="76" spans="1:18" hidden="1" x14ac:dyDescent="0.25">
      <c r="A76">
        <v>75</v>
      </c>
      <c r="B76" t="s">
        <v>16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130</v>
      </c>
      <c r="K76" t="s">
        <v>90</v>
      </c>
      <c r="L76">
        <v>0</v>
      </c>
      <c r="O76" t="s">
        <v>76</v>
      </c>
      <c r="P76" t="s">
        <v>21</v>
      </c>
      <c r="Q76">
        <v>0</v>
      </c>
      <c r="R76" t="s">
        <v>125</v>
      </c>
    </row>
    <row r="77" spans="1:18" hidden="1" x14ac:dyDescent="0.25">
      <c r="A77">
        <v>76</v>
      </c>
      <c r="B77" t="s">
        <v>16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129</v>
      </c>
      <c r="K77" t="s">
        <v>90</v>
      </c>
      <c r="L77">
        <v>0</v>
      </c>
      <c r="O77" t="s">
        <v>76</v>
      </c>
      <c r="P77" t="s">
        <v>21</v>
      </c>
      <c r="Q77">
        <v>0</v>
      </c>
      <c r="R77" t="s">
        <v>125</v>
      </c>
    </row>
    <row r="78" spans="1:18" hidden="1" x14ac:dyDescent="0.25">
      <c r="A78">
        <v>77</v>
      </c>
      <c r="B78" t="s">
        <v>16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128</v>
      </c>
      <c r="K78" t="s">
        <v>90</v>
      </c>
      <c r="L78">
        <v>0</v>
      </c>
      <c r="O78" t="s">
        <v>76</v>
      </c>
      <c r="P78" t="s">
        <v>21</v>
      </c>
      <c r="Q78">
        <v>0</v>
      </c>
      <c r="R78" t="s">
        <v>125</v>
      </c>
    </row>
    <row r="79" spans="1:18" x14ac:dyDescent="0.25">
      <c r="A79">
        <v>78</v>
      </c>
      <c r="B79" t="s">
        <v>27</v>
      </c>
      <c r="C79" t="s">
        <v>27</v>
      </c>
      <c r="D79" t="s">
        <v>16</v>
      </c>
      <c r="E79" t="s">
        <v>16</v>
      </c>
      <c r="F79" t="s">
        <v>27</v>
      </c>
      <c r="G79" t="s">
        <v>27</v>
      </c>
      <c r="H79" t="s">
        <v>16</v>
      </c>
      <c r="I79" t="s">
        <v>16</v>
      </c>
      <c r="J79" t="s">
        <v>126</v>
      </c>
      <c r="K79" t="s">
        <v>90</v>
      </c>
      <c r="L79">
        <v>1</v>
      </c>
      <c r="M79">
        <v>0</v>
      </c>
      <c r="N79">
        <v>3</v>
      </c>
      <c r="O79" t="s">
        <v>86</v>
      </c>
      <c r="P79" t="s">
        <v>85</v>
      </c>
      <c r="Q79">
        <v>0</v>
      </c>
      <c r="R79" t="s">
        <v>127</v>
      </c>
    </row>
    <row r="80" spans="1:18" hidden="1" x14ac:dyDescent="0.25">
      <c r="A80">
        <v>79</v>
      </c>
      <c r="B80" t="s">
        <v>16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140</v>
      </c>
      <c r="K80" t="s">
        <v>90</v>
      </c>
      <c r="L80">
        <v>0</v>
      </c>
      <c r="O80" t="s">
        <v>76</v>
      </c>
      <c r="P80" t="s">
        <v>21</v>
      </c>
      <c r="Q80">
        <v>0</v>
      </c>
      <c r="R80" t="s">
        <v>143</v>
      </c>
    </row>
    <row r="81" spans="1:20" hidden="1" x14ac:dyDescent="0.25">
      <c r="A81">
        <v>80</v>
      </c>
      <c r="B81" t="s">
        <v>16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141</v>
      </c>
      <c r="K81" t="s">
        <v>90</v>
      </c>
      <c r="L81">
        <v>1</v>
      </c>
      <c r="M81">
        <v>0</v>
      </c>
      <c r="N81">
        <v>1</v>
      </c>
      <c r="O81" t="s">
        <v>86</v>
      </c>
      <c r="P81" t="s">
        <v>85</v>
      </c>
      <c r="Q81">
        <v>0</v>
      </c>
      <c r="R81" t="s">
        <v>143</v>
      </c>
    </row>
    <row r="82" spans="1:20" hidden="1" x14ac:dyDescent="0.25">
      <c r="A82">
        <v>81</v>
      </c>
      <c r="B82" t="s">
        <v>16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142</v>
      </c>
      <c r="K82" t="s">
        <v>90</v>
      </c>
      <c r="L82">
        <v>0</v>
      </c>
      <c r="O82" t="s">
        <v>76</v>
      </c>
      <c r="P82" t="s">
        <v>21</v>
      </c>
      <c r="Q82">
        <v>0</v>
      </c>
      <c r="R82" t="s">
        <v>143</v>
      </c>
    </row>
    <row r="83" spans="1:20" x14ac:dyDescent="0.25">
      <c r="A83">
        <v>82</v>
      </c>
      <c r="B83" t="s">
        <v>27</v>
      </c>
      <c r="C83" t="s">
        <v>27</v>
      </c>
      <c r="D83" t="s">
        <v>27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158</v>
      </c>
      <c r="K83" t="s">
        <v>90</v>
      </c>
      <c r="L83">
        <v>1</v>
      </c>
      <c r="M83">
        <v>1</v>
      </c>
      <c r="N83">
        <v>12</v>
      </c>
      <c r="O83" t="s">
        <v>86</v>
      </c>
      <c r="P83" t="s">
        <v>84</v>
      </c>
      <c r="Q83">
        <v>0</v>
      </c>
      <c r="R83" t="s">
        <v>96</v>
      </c>
    </row>
    <row r="84" spans="1:20" hidden="1" x14ac:dyDescent="0.25">
      <c r="A84">
        <v>83</v>
      </c>
      <c r="B84" t="s">
        <v>16</v>
      </c>
      <c r="C84" t="s">
        <v>16</v>
      </c>
      <c r="D84" t="s">
        <v>27</v>
      </c>
      <c r="E84" t="s">
        <v>27</v>
      </c>
      <c r="F84" t="s">
        <v>16</v>
      </c>
      <c r="G84" t="s">
        <v>16</v>
      </c>
      <c r="H84" t="s">
        <v>27</v>
      </c>
      <c r="I84" t="s">
        <v>27</v>
      </c>
      <c r="J84" t="s">
        <v>145</v>
      </c>
      <c r="K84" t="s">
        <v>90</v>
      </c>
      <c r="L84">
        <v>1</v>
      </c>
      <c r="M84">
        <v>0</v>
      </c>
      <c r="N84">
        <v>9</v>
      </c>
      <c r="O84" t="s">
        <v>86</v>
      </c>
      <c r="P84" t="s">
        <v>85</v>
      </c>
      <c r="Q84">
        <v>0</v>
      </c>
      <c r="R84" t="s">
        <v>96</v>
      </c>
      <c r="T84" t="s">
        <v>159</v>
      </c>
    </row>
    <row r="85" spans="1:20" hidden="1" x14ac:dyDescent="0.25">
      <c r="A85">
        <v>84</v>
      </c>
      <c r="B85" t="s">
        <v>106</v>
      </c>
      <c r="C85" t="s">
        <v>16</v>
      </c>
      <c r="D85" t="s">
        <v>27</v>
      </c>
      <c r="E85" t="s">
        <v>27</v>
      </c>
      <c r="F85" t="s">
        <v>106</v>
      </c>
      <c r="G85" t="s">
        <v>16</v>
      </c>
      <c r="H85" t="s">
        <v>27</v>
      </c>
      <c r="I85" t="s">
        <v>27</v>
      </c>
      <c r="J85" t="s">
        <v>97</v>
      </c>
      <c r="K85" t="s">
        <v>90</v>
      </c>
      <c r="L85">
        <v>1</v>
      </c>
      <c r="M85">
        <v>-100000</v>
      </c>
      <c r="N85">
        <v>100000</v>
      </c>
      <c r="O85" t="s">
        <v>86</v>
      </c>
      <c r="P85" t="s">
        <v>84</v>
      </c>
      <c r="Q85">
        <v>0</v>
      </c>
      <c r="R85" t="s">
        <v>96</v>
      </c>
      <c r="T85" t="s">
        <v>159</v>
      </c>
    </row>
    <row r="86" spans="1:20" hidden="1" x14ac:dyDescent="0.25">
      <c r="A86">
        <v>85</v>
      </c>
      <c r="B86" t="s">
        <v>106</v>
      </c>
      <c r="C86" t="s">
        <v>16</v>
      </c>
      <c r="D86" t="s">
        <v>27</v>
      </c>
      <c r="E86" t="s">
        <v>27</v>
      </c>
      <c r="F86" t="s">
        <v>106</v>
      </c>
      <c r="G86" t="s">
        <v>16</v>
      </c>
      <c r="H86" t="s">
        <v>27</v>
      </c>
      <c r="I86" t="s">
        <v>27</v>
      </c>
      <c r="J86" t="s">
        <v>98</v>
      </c>
      <c r="K86" t="s">
        <v>90</v>
      </c>
      <c r="L86">
        <v>1</v>
      </c>
      <c r="M86">
        <v>0</v>
      </c>
      <c r="N86">
        <v>40000</v>
      </c>
      <c r="O86" t="s">
        <v>86</v>
      </c>
      <c r="P86" t="s">
        <v>85</v>
      </c>
      <c r="Q86">
        <v>1</v>
      </c>
      <c r="R86" t="s">
        <v>96</v>
      </c>
      <c r="T86" t="s">
        <v>159</v>
      </c>
    </row>
    <row r="87" spans="1:20" x14ac:dyDescent="0.25">
      <c r="A87">
        <v>86</v>
      </c>
      <c r="B87" t="s">
        <v>27</v>
      </c>
      <c r="C87" t="s">
        <v>27</v>
      </c>
      <c r="D87" s="1" t="s">
        <v>27</v>
      </c>
      <c r="E87" s="1" t="s">
        <v>27</v>
      </c>
      <c r="F87" t="s">
        <v>16</v>
      </c>
      <c r="G87" t="s">
        <v>16</v>
      </c>
      <c r="H87" s="1" t="s">
        <v>16</v>
      </c>
      <c r="I87" s="1" t="s">
        <v>16</v>
      </c>
      <c r="J87" t="s">
        <v>100</v>
      </c>
      <c r="K87" t="s">
        <v>90</v>
      </c>
      <c r="L87">
        <v>0</v>
      </c>
      <c r="O87" t="s">
        <v>76</v>
      </c>
      <c r="P87" t="s">
        <v>21</v>
      </c>
      <c r="Q87">
        <v>0</v>
      </c>
      <c r="R87" t="s">
        <v>96</v>
      </c>
      <c r="T87" t="s">
        <v>159</v>
      </c>
    </row>
    <row r="88" spans="1:20" hidden="1" x14ac:dyDescent="0.25">
      <c r="A88">
        <v>87</v>
      </c>
      <c r="B88" t="s">
        <v>16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144</v>
      </c>
      <c r="K88" t="s">
        <v>90</v>
      </c>
      <c r="L88">
        <v>1</v>
      </c>
      <c r="M88">
        <v>0</v>
      </c>
      <c r="N88">
        <v>1</v>
      </c>
      <c r="O88" t="s">
        <v>76</v>
      </c>
      <c r="P88" t="s">
        <v>84</v>
      </c>
      <c r="Q88">
        <v>0</v>
      </c>
      <c r="R88" t="s">
        <v>96</v>
      </c>
    </row>
    <row r="89" spans="1:20" x14ac:dyDescent="0.25">
      <c r="A89">
        <v>88</v>
      </c>
      <c r="B89" t="s">
        <v>27</v>
      </c>
      <c r="C89" t="s">
        <v>27</v>
      </c>
      <c r="D89" t="s">
        <v>27</v>
      </c>
      <c r="E89" t="s">
        <v>27</v>
      </c>
      <c r="F89" t="s">
        <v>16</v>
      </c>
      <c r="G89" t="s">
        <v>16</v>
      </c>
      <c r="H89" t="s">
        <v>16</v>
      </c>
      <c r="I89" t="s">
        <v>16</v>
      </c>
      <c r="J89" t="s">
        <v>92</v>
      </c>
      <c r="K89" t="s">
        <v>90</v>
      </c>
      <c r="L89">
        <v>1</v>
      </c>
      <c r="M89">
        <v>-90</v>
      </c>
      <c r="N89">
        <v>90</v>
      </c>
      <c r="O89" t="s">
        <v>86</v>
      </c>
      <c r="P89" t="s">
        <v>85</v>
      </c>
      <c r="Q89">
        <v>0</v>
      </c>
      <c r="R89" t="s">
        <v>96</v>
      </c>
      <c r="T89" t="s">
        <v>159</v>
      </c>
    </row>
    <row r="90" spans="1:20" x14ac:dyDescent="0.25">
      <c r="A90">
        <v>89</v>
      </c>
      <c r="B90" t="s">
        <v>27</v>
      </c>
      <c r="C90" t="s">
        <v>27</v>
      </c>
      <c r="D90" t="s">
        <v>27</v>
      </c>
      <c r="E90" t="s">
        <v>27</v>
      </c>
      <c r="F90" t="s">
        <v>16</v>
      </c>
      <c r="G90" t="s">
        <v>16</v>
      </c>
      <c r="H90" t="s">
        <v>16</v>
      </c>
      <c r="I90" t="s">
        <v>16</v>
      </c>
      <c r="J90" t="s">
        <v>93</v>
      </c>
      <c r="K90" t="s">
        <v>90</v>
      </c>
      <c r="L90">
        <v>1</v>
      </c>
      <c r="M90">
        <v>-180</v>
      </c>
      <c r="N90">
        <v>180</v>
      </c>
      <c r="O90" t="s">
        <v>86</v>
      </c>
      <c r="P90" t="s">
        <v>85</v>
      </c>
      <c r="Q90">
        <v>0</v>
      </c>
      <c r="R90" t="s">
        <v>96</v>
      </c>
      <c r="T90" t="s">
        <v>159</v>
      </c>
    </row>
    <row r="91" spans="1:20" hidden="1" x14ac:dyDescent="0.25">
      <c r="A91">
        <v>90</v>
      </c>
      <c r="B91" t="s">
        <v>106</v>
      </c>
      <c r="C91" t="s">
        <v>16</v>
      </c>
      <c r="D91" t="s">
        <v>27</v>
      </c>
      <c r="E91" t="s">
        <v>27</v>
      </c>
      <c r="F91" t="s">
        <v>106</v>
      </c>
      <c r="G91" t="s">
        <v>16</v>
      </c>
      <c r="H91" t="s">
        <v>16</v>
      </c>
      <c r="I91" t="s">
        <v>16</v>
      </c>
      <c r="J91" t="s">
        <v>95</v>
      </c>
      <c r="K91" t="s">
        <v>90</v>
      </c>
      <c r="L91">
        <v>1</v>
      </c>
      <c r="M91">
        <v>-90</v>
      </c>
      <c r="N91">
        <v>90</v>
      </c>
      <c r="O91" t="s">
        <v>86</v>
      </c>
      <c r="P91" t="s">
        <v>85</v>
      </c>
      <c r="Q91">
        <v>0</v>
      </c>
      <c r="R91" t="s">
        <v>96</v>
      </c>
      <c r="T91" t="s">
        <v>159</v>
      </c>
    </row>
    <row r="92" spans="1:20" hidden="1" x14ac:dyDescent="0.25">
      <c r="A92">
        <v>91</v>
      </c>
      <c r="B92" t="s">
        <v>106</v>
      </c>
      <c r="C92" t="s">
        <v>16</v>
      </c>
      <c r="D92" s="1" t="s">
        <v>27</v>
      </c>
      <c r="E92" s="1" t="s">
        <v>27</v>
      </c>
      <c r="F92" t="s">
        <v>106</v>
      </c>
      <c r="G92" t="s">
        <v>16</v>
      </c>
      <c r="H92" s="1" t="s">
        <v>16</v>
      </c>
      <c r="I92" s="1" t="s">
        <v>16</v>
      </c>
      <c r="J92" t="s">
        <v>94</v>
      </c>
      <c r="K92" t="s">
        <v>90</v>
      </c>
      <c r="L92">
        <v>1</v>
      </c>
      <c r="M92">
        <v>-180</v>
      </c>
      <c r="N92">
        <v>180</v>
      </c>
      <c r="O92" t="s">
        <v>86</v>
      </c>
      <c r="P92" t="s">
        <v>85</v>
      </c>
      <c r="Q92">
        <v>0</v>
      </c>
      <c r="R92" t="s">
        <v>96</v>
      </c>
      <c r="T92" t="s">
        <v>159</v>
      </c>
    </row>
    <row r="93" spans="1:20" hidden="1" x14ac:dyDescent="0.25">
      <c r="A93">
        <v>92</v>
      </c>
      <c r="B93" t="s">
        <v>16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91</v>
      </c>
      <c r="K93" t="s">
        <v>99</v>
      </c>
      <c r="L93">
        <v>1</v>
      </c>
      <c r="M93">
        <v>0</v>
      </c>
      <c r="N93">
        <v>10</v>
      </c>
      <c r="O93" t="s">
        <v>18</v>
      </c>
      <c r="P93" t="s">
        <v>85</v>
      </c>
      <c r="Q93">
        <v>0</v>
      </c>
      <c r="R93" t="s">
        <v>10</v>
      </c>
    </row>
    <row r="94" spans="1:20" x14ac:dyDescent="0.25">
      <c r="A94">
        <v>93</v>
      </c>
      <c r="B94" t="s">
        <v>27</v>
      </c>
      <c r="C94" t="s">
        <v>27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27</v>
      </c>
      <c r="J94" t="s">
        <v>17</v>
      </c>
      <c r="K94" t="s">
        <v>99</v>
      </c>
      <c r="L94">
        <v>1</v>
      </c>
      <c r="M94">
        <v>0</v>
      </c>
      <c r="N94">
        <v>1</v>
      </c>
      <c r="O94" t="s">
        <v>76</v>
      </c>
      <c r="P94" t="s">
        <v>84</v>
      </c>
      <c r="Q94">
        <v>0</v>
      </c>
      <c r="R94" t="s">
        <v>10</v>
      </c>
    </row>
    <row r="101" spans="15:15" x14ac:dyDescent="0.25">
      <c r="O101" s="1"/>
    </row>
  </sheetData>
  <conditionalFormatting sqref="J2:J94">
    <cfRule type="expression" dxfId="0" priority="2">
      <formula>C2="Sí"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324831B-4A8A-4FED-8DCC-53D1A5E5FDD7}">
          <x14:formula1>
            <xm:f>Secciones!$B$1:$B$4</xm:f>
          </x14:formula1>
          <xm:sqref>O2:O94</xm:sqref>
        </x14:dataValidation>
        <x14:dataValidation type="list" allowBlank="1" showInputMessage="1" showErrorMessage="1" xr:uid="{1A78CDF0-CFE6-46C9-8210-18B5F292A21A}">
          <x14:formula1>
            <xm:f>Secciones!$D$1:$D$4</xm:f>
          </x14:formula1>
          <xm:sqref>P2:P94</xm:sqref>
        </x14:dataValidation>
        <x14:dataValidation type="list" allowBlank="1" showInputMessage="1" showErrorMessage="1" xr:uid="{C3A775FB-A038-494F-A4B5-4AF35C380003}">
          <x14:formula1>
            <xm:f>Secciones!$E$1:$E$2</xm:f>
          </x14:formula1>
          <xm:sqref>K2:K94</xm:sqref>
        </x14:dataValidation>
        <x14:dataValidation type="list" allowBlank="1" showInputMessage="1" showErrorMessage="1" xr:uid="{DBFB7F2C-0022-4F81-9A93-EE66F9D482AB}">
          <x14:formula1>
            <xm:f>Secciones!$A$1:$A$14</xm:f>
          </x14:formula1>
          <xm:sqref>R2:R94</xm:sqref>
        </x14:dataValidation>
        <x14:dataValidation type="list" allowBlank="1" showInputMessage="1" showErrorMessage="1" xr:uid="{4150749E-469F-4736-BA6E-EE272364A744}">
          <x14:formula1>
            <xm:f>Secciones!$F$1:$F$2</xm:f>
          </x14:formula1>
          <xm:sqref>Q2:Q94</xm:sqref>
        </x14:dataValidation>
        <x14:dataValidation type="list" allowBlank="1" showInputMessage="1" showErrorMessage="1" xr:uid="{59FF9800-E7A7-4252-A020-9EC650C08550}">
          <x14:formula1>
            <xm:f>Secciones!$C$1:$C$5</xm:f>
          </x14:formula1>
          <xm:sqref>B2:I94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EF30-BB18-4CD5-A86D-A9E4A109892B}">
  <dimension ref="A1:F14"/>
  <sheetViews>
    <sheetView workbookViewId="0">
      <selection activeCell="F3" sqref="F3"/>
    </sheetView>
  </sheetViews>
  <sheetFormatPr baseColWidth="10" defaultColWidth="11.42578125" defaultRowHeight="15" x14ac:dyDescent="0.25"/>
  <cols>
    <col min="1" max="1" width="30.7109375" customWidth="1"/>
    <col min="2" max="2" width="18.140625" customWidth="1"/>
    <col min="3" max="3" width="13.42578125" bestFit="1" customWidth="1"/>
    <col min="5" max="5" width="18" customWidth="1"/>
  </cols>
  <sheetData>
    <row r="1" spans="1:6" x14ac:dyDescent="0.25">
      <c r="A1" t="s">
        <v>8</v>
      </c>
      <c r="B1" t="s">
        <v>76</v>
      </c>
      <c r="C1" t="s">
        <v>27</v>
      </c>
      <c r="D1" t="s">
        <v>84</v>
      </c>
      <c r="E1" t="s">
        <v>90</v>
      </c>
      <c r="F1">
        <v>0</v>
      </c>
    </row>
    <row r="2" spans="1:6" x14ac:dyDescent="0.25">
      <c r="A2" t="s">
        <v>1</v>
      </c>
      <c r="B2" t="s">
        <v>86</v>
      </c>
      <c r="C2" t="s">
        <v>106</v>
      </c>
      <c r="D2" t="s">
        <v>85</v>
      </c>
      <c r="E2" t="s">
        <v>99</v>
      </c>
      <c r="F2">
        <v>1</v>
      </c>
    </row>
    <row r="3" spans="1:6" x14ac:dyDescent="0.25">
      <c r="A3" t="s">
        <v>13</v>
      </c>
      <c r="B3" t="s">
        <v>21</v>
      </c>
      <c r="C3" t="s">
        <v>16</v>
      </c>
      <c r="D3" t="s">
        <v>88</v>
      </c>
    </row>
    <row r="4" spans="1:6" x14ac:dyDescent="0.25">
      <c r="A4" t="s">
        <v>2</v>
      </c>
      <c r="C4" t="s">
        <v>30</v>
      </c>
      <c r="D4" t="s">
        <v>21</v>
      </c>
    </row>
    <row r="5" spans="1:6" x14ac:dyDescent="0.25">
      <c r="A5" t="s">
        <v>3</v>
      </c>
      <c r="C5" t="s">
        <v>28</v>
      </c>
    </row>
    <row r="6" spans="1:6" x14ac:dyDescent="0.25">
      <c r="A6" t="s">
        <v>4</v>
      </c>
    </row>
    <row r="7" spans="1:6" x14ac:dyDescent="0.25">
      <c r="A7" t="s">
        <v>5</v>
      </c>
    </row>
    <row r="8" spans="1:6" x14ac:dyDescent="0.25">
      <c r="A8" t="s">
        <v>6</v>
      </c>
    </row>
    <row r="9" spans="1:6" x14ac:dyDescent="0.25">
      <c r="A9" t="s">
        <v>7</v>
      </c>
    </row>
    <row r="10" spans="1:6" x14ac:dyDescent="0.25">
      <c r="A10" t="s">
        <v>96</v>
      </c>
    </row>
    <row r="11" spans="1:6" x14ac:dyDescent="0.25">
      <c r="A11" t="s">
        <v>143</v>
      </c>
    </row>
    <row r="12" spans="1:6" x14ac:dyDescent="0.25">
      <c r="A12" t="s">
        <v>127</v>
      </c>
    </row>
    <row r="13" spans="1:6" x14ac:dyDescent="0.25">
      <c r="A13" t="s">
        <v>125</v>
      </c>
    </row>
    <row r="14" spans="1:6" x14ac:dyDescent="0.25">
      <c r="A1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8A87-A8CA-4AD9-AB49-09C8E213A2F9}">
  <dimension ref="A1:B8"/>
  <sheetViews>
    <sheetView workbookViewId="0">
      <selection activeCell="A2" sqref="A2:A7"/>
    </sheetView>
  </sheetViews>
  <sheetFormatPr baseColWidth="10" defaultColWidth="11.42578125" defaultRowHeight="15" x14ac:dyDescent="0.25"/>
  <cols>
    <col min="1" max="1" width="18.28515625" bestFit="1" customWidth="1"/>
  </cols>
  <sheetData>
    <row r="1" spans="1:2" x14ac:dyDescent="0.25">
      <c r="A1" t="s">
        <v>20</v>
      </c>
      <c r="B1" t="s">
        <v>133</v>
      </c>
    </row>
    <row r="2" spans="1:2" x14ac:dyDescent="0.25">
      <c r="A2" t="s">
        <v>132</v>
      </c>
      <c r="B2">
        <v>7</v>
      </c>
    </row>
    <row r="3" spans="1:2" x14ac:dyDescent="0.25">
      <c r="A3" t="s">
        <v>134</v>
      </c>
      <c r="B3">
        <v>39</v>
      </c>
    </row>
    <row r="4" spans="1:2" x14ac:dyDescent="0.25">
      <c r="A4" t="s">
        <v>135</v>
      </c>
      <c r="B4">
        <v>23</v>
      </c>
    </row>
    <row r="5" spans="1:2" x14ac:dyDescent="0.25">
      <c r="A5" t="s">
        <v>136</v>
      </c>
      <c r="B5">
        <v>1</v>
      </c>
    </row>
    <row r="6" spans="1:2" x14ac:dyDescent="0.25">
      <c r="A6" t="s">
        <v>137</v>
      </c>
      <c r="B6">
        <v>8</v>
      </c>
    </row>
    <row r="7" spans="1:2" x14ac:dyDescent="0.25">
      <c r="A7" t="s">
        <v>138</v>
      </c>
      <c r="B7">
        <v>2</v>
      </c>
    </row>
    <row r="8" spans="1:2" x14ac:dyDescent="0.25">
      <c r="A8" s="2" t="s">
        <v>139</v>
      </c>
      <c r="B8" s="2">
        <f>SUM(B2:B7)</f>
        <v>80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Campos</vt:lpstr>
      <vt:lpstr>Secciones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Juan-Manuel Ahuactzin</dc:creator>
  <cp:lastModifiedBy>Juan Manuel Ahuactzin Larios</cp:lastModifiedBy>
  <dcterms:created xsi:type="dcterms:W3CDTF">2023-06-13T00:46:48Z</dcterms:created>
  <dcterms:modified xsi:type="dcterms:W3CDTF">2026-02-09T18:07:47Z</dcterms:modified>
</cp:coreProperties>
</file>